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bk70355\Desktop\"/>
    </mc:Choice>
  </mc:AlternateContent>
  <xr:revisionPtr revIDLastSave="0" documentId="13_ncr:1_{0B57F1ED-959E-405D-AF06-4D4857D5E7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 (2)" sheetId="2" r:id="rId1"/>
    <sheet name="Sheet1" sheetId="1" r:id="rId2"/>
  </sheets>
  <definedNames>
    <definedName name="_xlnm._FilterDatabase" localSheetId="1" hidden="1">Sheet1!$J$2:$Q$119</definedName>
    <definedName name="_xlnm._FilterDatabase" localSheetId="0" hidden="1">'Sheet1 (2)'!$B$2:$I$121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0" i="1" l="1"/>
  <c r="V101" i="1"/>
  <c r="W101" i="1" s="1"/>
  <c r="V102" i="1"/>
  <c r="V103" i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V111" i="1"/>
  <c r="V112" i="1"/>
  <c r="W112" i="1" s="1"/>
  <c r="V113" i="1"/>
  <c r="W113" i="1" s="1"/>
  <c r="V114" i="1"/>
  <c r="W114" i="1" s="1"/>
  <c r="V115" i="1"/>
  <c r="W115" i="1" s="1"/>
  <c r="V116" i="1"/>
  <c r="V117" i="1"/>
  <c r="W117" i="1" s="1"/>
  <c r="V118" i="1"/>
  <c r="V99" i="1"/>
  <c r="W99" i="1" s="1"/>
  <c r="V79" i="1"/>
  <c r="W79" i="1" s="1"/>
  <c r="V80" i="1"/>
  <c r="W80" i="1" s="1"/>
  <c r="V81" i="1"/>
  <c r="V82" i="1"/>
  <c r="W82" i="1" s="1"/>
  <c r="V83" i="1"/>
  <c r="W83" i="1" s="1"/>
  <c r="V84" i="1"/>
  <c r="W84" i="1" s="1"/>
  <c r="V85" i="1"/>
  <c r="W85" i="1" s="1"/>
  <c r="V86" i="1"/>
  <c r="V87" i="1"/>
  <c r="W87" i="1" s="1"/>
  <c r="V88" i="1"/>
  <c r="V89" i="1"/>
  <c r="W89" i="1" s="1"/>
  <c r="V90" i="1"/>
  <c r="W90" i="1" s="1"/>
  <c r="V91" i="1"/>
  <c r="W91" i="1" s="1"/>
  <c r="V92" i="1"/>
  <c r="W92" i="1" s="1"/>
  <c r="V93" i="1"/>
  <c r="W93" i="1" s="1"/>
  <c r="V94" i="1"/>
  <c r="V95" i="1"/>
  <c r="W95" i="1" s="1"/>
  <c r="V96" i="1"/>
  <c r="W96" i="1" s="1"/>
  <c r="V97" i="1"/>
  <c r="W97" i="1" s="1"/>
  <c r="V78" i="1"/>
  <c r="W78" i="1" s="1"/>
  <c r="V58" i="1"/>
  <c r="V59" i="1"/>
  <c r="W59" i="1" s="1"/>
  <c r="V60" i="1"/>
  <c r="V61" i="1"/>
  <c r="V62" i="1"/>
  <c r="W62" i="1" s="1"/>
  <c r="V63" i="1"/>
  <c r="W63" i="1" s="1"/>
  <c r="V64" i="1"/>
  <c r="W64" i="1" s="1"/>
  <c r="V65" i="1"/>
  <c r="W65" i="1" s="1"/>
  <c r="V66" i="1"/>
  <c r="V67" i="1"/>
  <c r="W67" i="1" s="1"/>
  <c r="V68" i="1"/>
  <c r="V69" i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V57" i="1"/>
  <c r="W57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V44" i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V52" i="1"/>
  <c r="V53" i="1"/>
  <c r="W53" i="1" s="1"/>
  <c r="V54" i="1"/>
  <c r="W54" i="1" s="1"/>
  <c r="V55" i="1"/>
  <c r="W55" i="1" s="1"/>
  <c r="V36" i="1"/>
  <c r="W36" i="1" s="1"/>
  <c r="V16" i="1"/>
  <c r="W16" i="1" s="1"/>
  <c r="V17" i="1"/>
  <c r="W17" i="1" s="1"/>
  <c r="V18" i="1"/>
  <c r="V19" i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V27" i="1"/>
  <c r="V28" i="1"/>
  <c r="W28" i="1" s="1"/>
  <c r="V29" i="1"/>
  <c r="W29" i="1" s="1"/>
  <c r="V30" i="1"/>
  <c r="W30" i="1" s="1"/>
  <c r="V31" i="1"/>
  <c r="V32" i="1"/>
  <c r="W32" i="1" s="1"/>
  <c r="V33" i="1"/>
  <c r="W33" i="1" s="1"/>
  <c r="V34" i="1"/>
  <c r="V15" i="1"/>
  <c r="W15" i="1" s="1"/>
  <c r="W118" i="1"/>
  <c r="W116" i="1"/>
  <c r="W111" i="1"/>
  <c r="W110" i="1"/>
  <c r="W103" i="1"/>
  <c r="W102" i="1"/>
  <c r="W100" i="1"/>
  <c r="W94" i="1"/>
  <c r="W88" i="1"/>
  <c r="W86" i="1"/>
  <c r="W81" i="1"/>
  <c r="W76" i="1"/>
  <c r="W69" i="1"/>
  <c r="W68" i="1"/>
  <c r="W66" i="1"/>
  <c r="W61" i="1"/>
  <c r="W60" i="1"/>
  <c r="W58" i="1"/>
  <c r="W43" i="1"/>
  <c r="W44" i="1"/>
  <c r="W51" i="1"/>
  <c r="W52" i="1"/>
  <c r="W31" i="1"/>
  <c r="W18" i="1"/>
  <c r="W19" i="1"/>
  <c r="W26" i="1"/>
  <c r="W27" i="1"/>
  <c r="W34" i="1"/>
</calcChain>
</file>

<file path=xl/sharedStrings.xml><?xml version="1.0" encoding="utf-8"?>
<sst xmlns="http://schemas.openxmlformats.org/spreadsheetml/2006/main" count="3050" uniqueCount="381">
  <si>
    <t>Updated descriptions</t>
  </si>
  <si>
    <t>Level</t>
  </si>
  <si>
    <t>Project definition</t>
  </si>
  <si>
    <t>WBS element</t>
  </si>
  <si>
    <t>Name</t>
  </si>
  <si>
    <t>Planning element</t>
  </si>
  <si>
    <t>Acct asst elem.ind.</t>
  </si>
  <si>
    <t>Time chargeable</t>
  </si>
  <si>
    <t>Travel chargbl.</t>
  </si>
  <si>
    <t>1</t>
  </si>
  <si>
    <t>IRD1200</t>
  </si>
  <si>
    <t>iLottery Product Delivery 2025</t>
  </si>
  <si>
    <t>X</t>
  </si>
  <si>
    <t/>
  </si>
  <si>
    <t>2</t>
  </si>
  <si>
    <t>IRD1200.10</t>
  </si>
  <si>
    <t>Governance</t>
  </si>
  <si>
    <t>3</t>
  </si>
  <si>
    <t>IRD1200.10.01</t>
  </si>
  <si>
    <t>Project Management</t>
  </si>
  <si>
    <t>Leadership</t>
  </si>
  <si>
    <t>IRD1200.11</t>
  </si>
  <si>
    <t>Support</t>
  </si>
  <si>
    <t>IRD1200.11.01</t>
  </si>
  <si>
    <t>Architecture, Scrum Master, Agile coach if the case</t>
  </si>
  <si>
    <t>IRD1200.12</t>
  </si>
  <si>
    <t>Sustaining</t>
  </si>
  <si>
    <t>IRD1200.12.01</t>
  </si>
  <si>
    <t xml:space="preserve">Bug fixing and regressions coming from Production Issues </t>
  </si>
  <si>
    <t>IRD1200.13</t>
  </si>
  <si>
    <t>Infrastructure Cloud</t>
  </si>
  <si>
    <t>IRD1200.13.01</t>
  </si>
  <si>
    <t>Fixed Cost Infra Cloud *</t>
  </si>
  <si>
    <t>IRD1200.14</t>
  </si>
  <si>
    <t>Travel</t>
  </si>
  <si>
    <t>IRD1200.14.01</t>
  </si>
  <si>
    <t>IRD1200.15</t>
  </si>
  <si>
    <t>SW Engineering</t>
  </si>
  <si>
    <t>Development, Test, DevOps, Perf Test, Data Migration</t>
  </si>
  <si>
    <t>IRD1200.15.01</t>
  </si>
  <si>
    <t>SW Eng - Non CAPEX Features</t>
  </si>
  <si>
    <t xml:space="preserve">Tech Analysis </t>
  </si>
  <si>
    <t>IRD1200.15.02</t>
  </si>
  <si>
    <t>SW Eng - Compliance</t>
  </si>
  <si>
    <t>IRD1200.15.03</t>
  </si>
  <si>
    <t>SW Eng - Content Management</t>
  </si>
  <si>
    <t>IRD1200.15.04</t>
  </si>
  <si>
    <t>SW Eng - Cost optimization</t>
  </si>
  <si>
    <t>IRD1200.15.05</t>
  </si>
  <si>
    <t>SW Eng - Game integration</t>
  </si>
  <si>
    <t>IRD1200.15.06</t>
  </si>
  <si>
    <t>SW Eng - Mandatory migration</t>
  </si>
  <si>
    <t>IRD1200.15.07</t>
  </si>
  <si>
    <t>SW Eng - New Generation FE Product</t>
  </si>
  <si>
    <t>IRD1200.15.08</t>
  </si>
  <si>
    <t>SW Eng - Operational efficiency</t>
  </si>
  <si>
    <t>IRD1200.15.09</t>
  </si>
  <si>
    <t>SW Eng - Player experience</t>
  </si>
  <si>
    <t>IRD1200.15.10</t>
  </si>
  <si>
    <t>SW Eng - Player journey</t>
  </si>
  <si>
    <t>IRD1200.15.11</t>
  </si>
  <si>
    <t>SW Eng - Player Tracking</t>
  </si>
  <si>
    <t>IRD1200.15.12</t>
  </si>
  <si>
    <t>SW Eng - Product improvement</t>
  </si>
  <si>
    <t>IRD1200.15.13</t>
  </si>
  <si>
    <t>SW Eng - Productization</t>
  </si>
  <si>
    <t>IRD1200.15.14</t>
  </si>
  <si>
    <t>SW Eng - Regulatory</t>
  </si>
  <si>
    <t>IRD1200.15.15</t>
  </si>
  <si>
    <t>SW Eng - Reporting</t>
  </si>
  <si>
    <t>IRD1200.15.16</t>
  </si>
  <si>
    <t>SW Eng - Responsible Gaming</t>
  </si>
  <si>
    <t>IRD1200.15.17</t>
  </si>
  <si>
    <t>SW Eng - Security</t>
  </si>
  <si>
    <t>IRD1200.15.18</t>
  </si>
  <si>
    <t>SW Eng - Upsell</t>
  </si>
  <si>
    <t>IRD1200.15.19</t>
  </si>
  <si>
    <t xml:space="preserve">SW Eng - Stand Alone Draw Engine </t>
  </si>
  <si>
    <t>IRD1200.15.20</t>
  </si>
  <si>
    <t>SW Eng - Connected Play</t>
  </si>
  <si>
    <t>IRD1200.16</t>
  </si>
  <si>
    <t>Document Enhancements</t>
  </si>
  <si>
    <t>IRD1200.16.01</t>
  </si>
  <si>
    <t>Doc Enh - Non CAPEX Features</t>
  </si>
  <si>
    <t>IRD1200.16.02</t>
  </si>
  <si>
    <t>Doc Enh - Compliance</t>
  </si>
  <si>
    <t>IRD1200.16.03</t>
  </si>
  <si>
    <t>Doc Enh - Content Management</t>
  </si>
  <si>
    <t>IRD1200.16.04</t>
  </si>
  <si>
    <t>Doc Enh - Cost optimization</t>
  </si>
  <si>
    <t>IRD1200.16.05</t>
  </si>
  <si>
    <t>Doc Enh - Game integration</t>
  </si>
  <si>
    <t>IRD1200.16.06</t>
  </si>
  <si>
    <t>Doc Enh - Mandatory migration</t>
  </si>
  <si>
    <t>IRD1200.16.07</t>
  </si>
  <si>
    <t>Doc Enh - New Generation FE Product</t>
  </si>
  <si>
    <t>IRD1200.16.08</t>
  </si>
  <si>
    <t>Doc Enh - Operational efficiency</t>
  </si>
  <si>
    <t>IRD1200.16.09</t>
  </si>
  <si>
    <t>Doc Enh - Player experience</t>
  </si>
  <si>
    <t>IRD1200.16.10</t>
  </si>
  <si>
    <t>Doc Enh - Player journey</t>
  </si>
  <si>
    <t>IRD1200.16.11</t>
  </si>
  <si>
    <t>Doc Enh - Player Tracking</t>
  </si>
  <si>
    <t>IRD1200.16.12</t>
  </si>
  <si>
    <t>Doc Enh - Product improvement</t>
  </si>
  <si>
    <t>IRD1200.16.13</t>
  </si>
  <si>
    <t>Doc Enh - Productization</t>
  </si>
  <si>
    <t>IRD1200.16.14</t>
  </si>
  <si>
    <t>Doc Enh - Regulatory</t>
  </si>
  <si>
    <t>IRD1200.16.15</t>
  </si>
  <si>
    <t>Doc Enh - Reporting</t>
  </si>
  <si>
    <t>IRD1200.16.16</t>
  </si>
  <si>
    <t>Doc Enh - Responsible Gaming</t>
  </si>
  <si>
    <t>IRD1200.16.17</t>
  </si>
  <si>
    <t>Doc Enh - Security</t>
  </si>
  <si>
    <t>IRD1200.16.18</t>
  </si>
  <si>
    <t>Doc Enh - Upsell</t>
  </si>
  <si>
    <t>IRD1200.16.19</t>
  </si>
  <si>
    <t xml:space="preserve">Doc Enh - Stand Alone Draw Engine </t>
  </si>
  <si>
    <t>IRD1200.16.20</t>
  </si>
  <si>
    <t>Doc Enh - Connected Play</t>
  </si>
  <si>
    <t>IRD1200.17</t>
  </si>
  <si>
    <t>Fixed Cost Infra on Prem</t>
  </si>
  <si>
    <t>Not for effort charges - no task should be created</t>
  </si>
  <si>
    <t>IRD1200.17.01</t>
  </si>
  <si>
    <t>Fxd Infr o/prem - Non CAPEX Features</t>
  </si>
  <si>
    <t>IRD1200.17.02</t>
  </si>
  <si>
    <t>Fxd Infr o/prem - Compliance</t>
  </si>
  <si>
    <t>IRD1200.17.03</t>
  </si>
  <si>
    <t>Fxd Infr o/prem - Content Management</t>
  </si>
  <si>
    <t>IRD1200.17.04</t>
  </si>
  <si>
    <t>Fxd Infr o/prem - Cost optimization</t>
  </si>
  <si>
    <t>IRD1200.17.05</t>
  </si>
  <si>
    <t>Fxd Infr o/prem - Game integration</t>
  </si>
  <si>
    <t>IRD1200.17.06</t>
  </si>
  <si>
    <t>Fxd Infr o/prem - Mandatory migration</t>
  </si>
  <si>
    <t>IRD1200.17.07</t>
  </si>
  <si>
    <t>Fxd Infr o/prem - New Generation FE Product</t>
  </si>
  <si>
    <t>IRD1200.17.08</t>
  </si>
  <si>
    <t>Fxd Infr o/prem - Operational efficiency</t>
  </si>
  <si>
    <t>IRD1200.17.09</t>
  </si>
  <si>
    <t>Fxd Infr o/prem - Player experience</t>
  </si>
  <si>
    <t>IRD1200.17.10</t>
  </si>
  <si>
    <t>Fxd Infr o/prem - Player journey</t>
  </si>
  <si>
    <t>IRD1200.17.11</t>
  </si>
  <si>
    <t>Fxd Infr o/prem - Player Tracking</t>
  </si>
  <si>
    <t>IRD1200.17.12</t>
  </si>
  <si>
    <t>Fxd Infr o/prem - Product improvement</t>
  </si>
  <si>
    <t>IRD1200.17.13</t>
  </si>
  <si>
    <t>Fxd Infr o/prem - Productization</t>
  </si>
  <si>
    <t>IRD1200.17.14</t>
  </si>
  <si>
    <t>Fxd Infr o/prem - Regulatory</t>
  </si>
  <si>
    <t>IRD1200.17.15</t>
  </si>
  <si>
    <t>Fxd Infr o/prem - Reporting</t>
  </si>
  <si>
    <t>IRD1200.17.16</t>
  </si>
  <si>
    <t>Fxd Infr o/prem - Responsible Gaming</t>
  </si>
  <si>
    <t>IRD1200.17.17</t>
  </si>
  <si>
    <t>Fxd Infr o/prem - Security</t>
  </si>
  <si>
    <t>IRD1200.17.18</t>
  </si>
  <si>
    <t>Fxd Infr o/prem - Upsell</t>
  </si>
  <si>
    <t>IRD1200.17.19</t>
  </si>
  <si>
    <t xml:space="preserve">Fxd Infr o/prem - Stand Alone Draw Engine </t>
  </si>
  <si>
    <t>IRD1200.17.20</t>
  </si>
  <si>
    <t>Fxd Infr o/prem - Connected Play</t>
  </si>
  <si>
    <t>IRD1200.18</t>
  </si>
  <si>
    <t>Infrastructure Support</t>
  </si>
  <si>
    <t>IRD1200.18.01</t>
  </si>
  <si>
    <t>Infr Supp - Non CAPEX Features</t>
  </si>
  <si>
    <t xml:space="preserve">To be used in case some support from Infra team is needed </t>
  </si>
  <si>
    <t>IRD1200.18.02</t>
  </si>
  <si>
    <t>Infr Supp - Compliance</t>
  </si>
  <si>
    <t>IRD1200.18.03</t>
  </si>
  <si>
    <t>Infr Supp - Content Management</t>
  </si>
  <si>
    <t>IRD1200.18.04</t>
  </si>
  <si>
    <t>Infr Supp - Cost optimization</t>
  </si>
  <si>
    <t>IRD1200.18.05</t>
  </si>
  <si>
    <t>Infr Supp - Game integration</t>
  </si>
  <si>
    <t>IRD1200.18.06</t>
  </si>
  <si>
    <t>Infr Supp - Mandatory migration</t>
  </si>
  <si>
    <t>IRD1200.18.07</t>
  </si>
  <si>
    <t>Infr Supp - New Generation FE Product</t>
  </si>
  <si>
    <t>IRD1200.18.08</t>
  </si>
  <si>
    <t>Infr Supp - Operational efficiency</t>
  </si>
  <si>
    <t>IRD1200.18.09</t>
  </si>
  <si>
    <t>Infr Supp - Player experience</t>
  </si>
  <si>
    <t>IRD1200.18.10</t>
  </si>
  <si>
    <t>Infr Supp - Player journey</t>
  </si>
  <si>
    <t>IRD1200.18.11</t>
  </si>
  <si>
    <t>Infr Supp - Player Tracking</t>
  </si>
  <si>
    <t>IRD1200.18.12</t>
  </si>
  <si>
    <t>Infr Supp - Product improvement</t>
  </si>
  <si>
    <t>IRD1200.18.13</t>
  </si>
  <si>
    <t>Infr Supp - Productization</t>
  </si>
  <si>
    <t>IRD1200.18.14</t>
  </si>
  <si>
    <t>Infr Supp - Regulatory</t>
  </si>
  <si>
    <t>IRD1200.18.15</t>
  </si>
  <si>
    <t>Infr Supp - Reporting</t>
  </si>
  <si>
    <t>IRD1200.18.16</t>
  </si>
  <si>
    <t>Infr Supp - Responsible Gaming</t>
  </si>
  <si>
    <t>IRD1200.18.17</t>
  </si>
  <si>
    <t>Infr Supp - Security</t>
  </si>
  <si>
    <t>IRD1200.18.18</t>
  </si>
  <si>
    <t>Infr Supp - Upsell</t>
  </si>
  <si>
    <t>IRD1200.18.19</t>
  </si>
  <si>
    <t xml:space="preserve">Infr Supp - Stand Alone Draw Engine </t>
  </si>
  <si>
    <t>IRD1200.18.20</t>
  </si>
  <si>
    <t>Infr Supp - Connected Play</t>
  </si>
  <si>
    <t>IRD1200.19</t>
  </si>
  <si>
    <t>3rd Party Fixed Costs</t>
  </si>
  <si>
    <t>IRD1200.19.01</t>
  </si>
  <si>
    <t>3P Fixed Cost - Non CAPEX Features</t>
  </si>
  <si>
    <t>IRD1200.19.02</t>
  </si>
  <si>
    <t>3P Fixed Cost - Compliance</t>
  </si>
  <si>
    <t>IRD1200.19.03</t>
  </si>
  <si>
    <t>3P Fixed Cost - Content Management</t>
  </si>
  <si>
    <t>IRD1200.19.04</t>
  </si>
  <si>
    <t>3P Fixed Cost - Cost optimization</t>
  </si>
  <si>
    <t>IRD1200.19.05</t>
  </si>
  <si>
    <t>3P Fixed Cost - Game integration</t>
  </si>
  <si>
    <t>IRD1200.19.06</t>
  </si>
  <si>
    <t>3P Fixed Cost - Mandatory migration</t>
  </si>
  <si>
    <t>IRD1200.19.07</t>
  </si>
  <si>
    <t>3P Fixed Cost - New Generation FE Product</t>
  </si>
  <si>
    <t>IRD1200.19.08</t>
  </si>
  <si>
    <t>3P Fixed Cost - Operational efficiency</t>
  </si>
  <si>
    <t>IRD1200.19.09</t>
  </si>
  <si>
    <t>3P Fixed Cost - Player experience</t>
  </si>
  <si>
    <t>IRD1200.19.10</t>
  </si>
  <si>
    <t>3P Fixed Cost - Player journey</t>
  </si>
  <si>
    <t>IRD1200.19.11</t>
  </si>
  <si>
    <t>3P Fixed Cost - Player Tracking</t>
  </si>
  <si>
    <t>IRD1200.19.12</t>
  </si>
  <si>
    <t>3P Fixed Cost - Product improvement</t>
  </si>
  <si>
    <t>IRD1200.19.13</t>
  </si>
  <si>
    <t>3P Fixed Cost - Productization</t>
  </si>
  <si>
    <t>IRD1200.19.14</t>
  </si>
  <si>
    <t>3P Fixed Cost - Regulatory</t>
  </si>
  <si>
    <t>IRD1200.19.15</t>
  </si>
  <si>
    <t>3P Fixed Cost - Reporting</t>
  </si>
  <si>
    <t>IRD1200.19.16</t>
  </si>
  <si>
    <t>3P Fixed Cost - Responsible Gaming</t>
  </si>
  <si>
    <t>IRD1200.19.17</t>
  </si>
  <si>
    <t>3P Fixed Cost - Security</t>
  </si>
  <si>
    <t>IRD1200.19.18</t>
  </si>
  <si>
    <t>3P Fixed Cost - Upsell</t>
  </si>
  <si>
    <t>IRD1200.19.19</t>
  </si>
  <si>
    <t xml:space="preserve">3P Fixed Cost - Stand Alone Draw Engine </t>
  </si>
  <si>
    <t>IRD1200.19.20</t>
  </si>
  <si>
    <t>3P Fixed Cost - Connected Play</t>
  </si>
  <si>
    <t>IRD1200.90</t>
  </si>
  <si>
    <t>Clarity Default</t>
  </si>
  <si>
    <t>SW Engineering - Non CAPEX Features</t>
  </si>
  <si>
    <t xml:space="preserve"> Non CAPEX Features</t>
  </si>
  <si>
    <t>SW Eng</t>
  </si>
  <si>
    <t>SW Engineering - Compliance</t>
  </si>
  <si>
    <t xml:space="preserve"> Compliance</t>
  </si>
  <si>
    <t>SW Engineering - Content Management</t>
  </si>
  <si>
    <t xml:space="preserve"> Content Management</t>
  </si>
  <si>
    <t>SW Engineering - Cost optimization</t>
  </si>
  <si>
    <t xml:space="preserve"> Cost optimization</t>
  </si>
  <si>
    <t>SW Engineering - Game integration</t>
  </si>
  <si>
    <t xml:space="preserve"> Game integration</t>
  </si>
  <si>
    <t>SW Engineering - Mandatory migration</t>
  </si>
  <si>
    <t xml:space="preserve"> Mandatory migration</t>
  </si>
  <si>
    <t>SW Engineering - New Generation FE Produ</t>
  </si>
  <si>
    <t xml:space="preserve"> New Generation FE Product</t>
  </si>
  <si>
    <t>SW Engineering - Operational efficiency</t>
  </si>
  <si>
    <t xml:space="preserve"> Operational efficiency</t>
  </si>
  <si>
    <t>SW Engineering - Player experience</t>
  </si>
  <si>
    <t xml:space="preserve"> Player experience</t>
  </si>
  <si>
    <t>SW Engineering - Player journey</t>
  </si>
  <si>
    <t xml:space="preserve"> Player journey</t>
  </si>
  <si>
    <t>SW Engineering - Player Tracking</t>
  </si>
  <si>
    <t xml:space="preserve"> Player Tracking</t>
  </si>
  <si>
    <t>SW Engineering - Product improvement</t>
  </si>
  <si>
    <t xml:space="preserve"> Product improvement</t>
  </si>
  <si>
    <t>SW Engineering - Productization</t>
  </si>
  <si>
    <t xml:space="preserve"> Productization</t>
  </si>
  <si>
    <t>SW Engineering - Regulatory</t>
  </si>
  <si>
    <t xml:space="preserve"> Regulatory</t>
  </si>
  <si>
    <t>SW Engineering - Reporting</t>
  </si>
  <si>
    <t xml:space="preserve"> Reporting</t>
  </si>
  <si>
    <t>SW Engineering - Responsible Gaming</t>
  </si>
  <si>
    <t xml:space="preserve"> Responsible Gaming</t>
  </si>
  <si>
    <t>SW Engineering - Security</t>
  </si>
  <si>
    <t xml:space="preserve"> Security</t>
  </si>
  <si>
    <t>SW Engineering - Upsell</t>
  </si>
  <si>
    <t xml:space="preserve"> Upsell</t>
  </si>
  <si>
    <t>SW Engineering - Stand Alone Draw Engine</t>
  </si>
  <si>
    <t xml:space="preserve"> Stand Alone Draw Engine </t>
  </si>
  <si>
    <t>SW Engineering - Connected Play</t>
  </si>
  <si>
    <t xml:space="preserve"> Connected Play</t>
  </si>
  <si>
    <t>Document Enhancements - Non CAPEX Featur</t>
  </si>
  <si>
    <t>Doc Enh</t>
  </si>
  <si>
    <t>Document Enhancements - Compliance</t>
  </si>
  <si>
    <t>Document Enhancements - Content Manageme</t>
  </si>
  <si>
    <t>Document Enhancements - Cost optimizatio</t>
  </si>
  <si>
    <t>Document Enhancements - Game integration</t>
  </si>
  <si>
    <t>Document Enhancements - Mandatory migrat</t>
  </si>
  <si>
    <t>Document Enhancements - New Generation F</t>
  </si>
  <si>
    <t>Document Enhancements - Operational effi</t>
  </si>
  <si>
    <t>Document Enhancements - Player experienc</t>
  </si>
  <si>
    <t>Document Enhancements - Player journey</t>
  </si>
  <si>
    <t>Document Enhancements - Player Tracking</t>
  </si>
  <si>
    <t>Document Enhancements - Product improvem</t>
  </si>
  <si>
    <t>Document Enhancements - Productization</t>
  </si>
  <si>
    <t>Document Enhancements - Regulatory</t>
  </si>
  <si>
    <t>Document Enhancements - Reporting</t>
  </si>
  <si>
    <t>Document Enhancements - Responsible Gami</t>
  </si>
  <si>
    <t>Document Enhancements - Security</t>
  </si>
  <si>
    <t>Document Enhancements - Upsell</t>
  </si>
  <si>
    <t>Document Enhancements - Stand Alone Draw</t>
  </si>
  <si>
    <t>Document Enhancements - Connected Play</t>
  </si>
  <si>
    <t>Fixed Cost Infra on Prem - Non CAPEX Fea</t>
  </si>
  <si>
    <t>Fxd Infr o/prem</t>
  </si>
  <si>
    <t>Fixed Cost Infra on Prem - Compliance</t>
  </si>
  <si>
    <t>Fixed Cost Infra on Prem - Content Manag</t>
  </si>
  <si>
    <t>Fixed Cost Infra on Prem - Cost optimiza</t>
  </si>
  <si>
    <t>Fixed Cost Infra on Prem - Game integrat</t>
  </si>
  <si>
    <t>Fixed Cost Infra on Prem - Mandatory mig</t>
  </si>
  <si>
    <t>Fixed Cost Infra on Prem - New Generatio</t>
  </si>
  <si>
    <t>Fixed Cost Infra on Prem - Operational e</t>
  </si>
  <si>
    <t>Fixed Cost Infra on Prem - Player experi</t>
  </si>
  <si>
    <t>Fixed Cost Infra on Prem - Player journe</t>
  </si>
  <si>
    <t>Fixed Cost Infra on Prem - Player Tracki</t>
  </si>
  <si>
    <t>Fixed Cost Infra on Prem - Product impro</t>
  </si>
  <si>
    <t>Fixed Cost Infra on Prem - Productizatio</t>
  </si>
  <si>
    <t>Fixed Cost Infra on Prem - Regulatory</t>
  </si>
  <si>
    <t>Fixed Cost Infra on Prem - Reporting</t>
  </si>
  <si>
    <t>Fixed Cost Infra on Prem - Responsible G</t>
  </si>
  <si>
    <t>Fixed Cost Infra on Prem - Security</t>
  </si>
  <si>
    <t>Fixed Cost Infra on Prem - Upsell</t>
  </si>
  <si>
    <t>Fixed Cost Infra on Prem - Stand Alone D</t>
  </si>
  <si>
    <t>Fixed Cost Infra on Prem - Connected Pla</t>
  </si>
  <si>
    <t>Infrastructure Support - Non CAPEX Featu</t>
  </si>
  <si>
    <t>Infr Supp</t>
  </si>
  <si>
    <t>Infrastructure Support - Compliance</t>
  </si>
  <si>
    <t>Infrastructure Support - Content Managem</t>
  </si>
  <si>
    <t>Infrastructure Support - Cost optimizati</t>
  </si>
  <si>
    <t>Infrastructure Support - Game integratio</t>
  </si>
  <si>
    <t>Infrastructure Support - Mandatory migra</t>
  </si>
  <si>
    <t>Infrastructure Support - New Generation</t>
  </si>
  <si>
    <t>Infrastructure Support - Operational eff</t>
  </si>
  <si>
    <t>Infrastructure Support - Player experien</t>
  </si>
  <si>
    <t>Infrastructure Support - Player journey</t>
  </si>
  <si>
    <t>Infrastructure Support - Player Tracking</t>
  </si>
  <si>
    <t>Infrastructure Support - Product improve</t>
  </si>
  <si>
    <t>Infrastructure Support - Productization</t>
  </si>
  <si>
    <t>Infrastructure Support - Regulatory</t>
  </si>
  <si>
    <t>Infrastructure Support - Reporting</t>
  </si>
  <si>
    <t>Infrastructure Support - Responsible Gam</t>
  </si>
  <si>
    <t>Infrastructure Support - Security</t>
  </si>
  <si>
    <t>Infrastructure Support - Upsell</t>
  </si>
  <si>
    <t>Infrastructure Support - Stand Alone Dra</t>
  </si>
  <si>
    <t>Infrastructure Support - Connected Play</t>
  </si>
  <si>
    <t>3rd Party Fixed Costs - Non CAPEX Featur</t>
  </si>
  <si>
    <t>3P Fixed Cost</t>
  </si>
  <si>
    <t>3rd Party Fixed Costs - Compliance</t>
  </si>
  <si>
    <t>3rd Party Fixed Costs - Content Manageme</t>
  </si>
  <si>
    <t>3rd Party Fixed Costs - Cost optimizatio</t>
  </si>
  <si>
    <t>3rd Party Fixed Costs - Game integration</t>
  </si>
  <si>
    <t>3rd Party Fixed Costs - Mandatory migrat</t>
  </si>
  <si>
    <t>3rd Party Fixed Costs - New Generation F</t>
  </si>
  <si>
    <t>3rd Party Fixed Costs - Operational effi</t>
  </si>
  <si>
    <t>3rd Party Fixed Costs - Player experienc</t>
  </si>
  <si>
    <t>3rd Party Fixed Costs - Player journey</t>
  </si>
  <si>
    <t>3rd Party Fixed Costs - Player Tracking</t>
  </si>
  <si>
    <t>3rd Party Fixed Costs - Product improvem</t>
  </si>
  <si>
    <t>3rd Party Fixed Costs - Productization</t>
  </si>
  <si>
    <t>3rd Party Fixed Costs - Regulatory</t>
  </si>
  <si>
    <t>3rd Party Fixed Costs - Reporting</t>
  </si>
  <si>
    <t>3rd Party Fixed Costs - Responsible Gami</t>
  </si>
  <si>
    <t>3rd Party Fixed Costs - Security</t>
  </si>
  <si>
    <t>3rd Party Fixed Costs - Upsell</t>
  </si>
  <si>
    <t>3rd Party Fixed Costs - Stand Alone Draw</t>
  </si>
  <si>
    <t>3rd Party Fixed Costs - Connected Play</t>
  </si>
  <si>
    <t>IRD1200.15.21</t>
  </si>
  <si>
    <t>SW Engineering - Pegasus Ph1</t>
  </si>
  <si>
    <t>IRD1200.15.22</t>
  </si>
  <si>
    <t>SW Engineering - Pegasus Ph2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</si>
</sst>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0" borderId="0" xfId="0"/>
    <xf numFmtId="0" fontId="1" fillId="4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6B61-E4DB-4ACC-A9CD-D351590C4E96}">
  <dimension ref="B1:L121"/>
  <sheetViews>
    <sheetView tabSelected="1" topLeftCell="A9" workbookViewId="0">
      <selection activeCell="E31" sqref="E31"/>
    </sheetView>
  </sheetViews>
  <sheetFormatPr defaultRowHeight="12.5" x14ac:dyDescent="0.25"/>
  <cols>
    <col min="2" max="2" width="7" bestFit="1" customWidth="1"/>
    <col min="3" max="3" width="9" bestFit="1" customWidth="1"/>
    <col min="4" max="4" width="15" bestFit="1" customWidth="1"/>
    <col min="5" max="5" width="42" bestFit="1" customWidth="1"/>
    <col min="6" max="6" width="11" bestFit="1" customWidth="1"/>
    <col min="7" max="7" width="12" bestFit="1" customWidth="1"/>
    <col min="8" max="9" width="10" bestFit="1" customWidth="1"/>
    <col min="12" max="12" width="51" bestFit="1" customWidth="1"/>
    <col min="13" max="13" width="18.1796875" bestFit="1" customWidth="1"/>
    <col min="14" max="14" width="44.453125" bestFit="1" customWidth="1"/>
  </cols>
  <sheetData>
    <row r="1" spans="2:12" ht="13" x14ac:dyDescent="0.25">
      <c r="E1" s="5" t="s">
        <v>0</v>
      </c>
    </row>
    <row r="2" spans="2:12" ht="25" x14ac:dyDescent="0.25">
      <c r="B2" s="1" t="s">
        <v>1</v>
      </c>
      <c r="C2" s="2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2:12" x14ac:dyDescent="0.25">
      <c r="B3" t="s">
        <v>9</v>
      </c>
      <c r="C3" t="s">
        <v>10</v>
      </c>
      <c r="D3" t="s">
        <v>10</v>
      </c>
      <c r="E3" t="s">
        <v>11</v>
      </c>
      <c r="F3" t="s">
        <v>12</v>
      </c>
      <c r="G3" t="s">
        <v>13</v>
      </c>
      <c r="H3" t="s">
        <v>13</v>
      </c>
      <c r="I3" t="s">
        <v>13</v>
      </c>
    </row>
    <row r="4" spans="2:12" x14ac:dyDescent="0.25">
      <c r="B4" t="s">
        <v>14</v>
      </c>
      <c r="C4" t="s">
        <v>10</v>
      </c>
      <c r="D4" t="s">
        <v>15</v>
      </c>
      <c r="E4" t="s">
        <v>16</v>
      </c>
      <c r="F4" t="s">
        <v>12</v>
      </c>
      <c r="G4" t="s">
        <v>13</v>
      </c>
      <c r="H4" t="s">
        <v>13</v>
      </c>
      <c r="I4" t="s">
        <v>13</v>
      </c>
    </row>
    <row r="5" spans="2:12" x14ac:dyDescent="0.25">
      <c r="B5" s="3" t="s">
        <v>17</v>
      </c>
      <c r="C5" s="3" t="s">
        <v>10</v>
      </c>
      <c r="D5" s="3" t="s">
        <v>18</v>
      </c>
      <c r="E5" s="3" t="s">
        <v>19</v>
      </c>
      <c r="F5" s="3" t="s">
        <v>13</v>
      </c>
      <c r="G5" s="3" t="s">
        <v>12</v>
      </c>
      <c r="H5" s="3" t="s">
        <v>12</v>
      </c>
      <c r="I5" s="3" t="s">
        <v>13</v>
      </c>
      <c r="L5" t="s">
        <v>20</v>
      </c>
    </row>
    <row r="6" spans="2:12" x14ac:dyDescent="0.25">
      <c r="B6" t="s">
        <v>14</v>
      </c>
      <c r="C6" t="s">
        <v>10</v>
      </c>
      <c r="D6" t="s">
        <v>21</v>
      </c>
      <c r="E6" t="s">
        <v>22</v>
      </c>
      <c r="F6" t="s">
        <v>12</v>
      </c>
      <c r="G6" t="s">
        <v>13</v>
      </c>
      <c r="H6" t="s">
        <v>13</v>
      </c>
      <c r="I6" t="s">
        <v>13</v>
      </c>
    </row>
    <row r="7" spans="2:12" x14ac:dyDescent="0.25">
      <c r="B7" s="3" t="s">
        <v>17</v>
      </c>
      <c r="C7" s="3" t="s">
        <v>10</v>
      </c>
      <c r="D7" s="3" t="s">
        <v>23</v>
      </c>
      <c r="E7" s="3" t="s">
        <v>22</v>
      </c>
      <c r="F7" s="3" t="s">
        <v>13</v>
      </c>
      <c r="G7" s="3" t="s">
        <v>12</v>
      </c>
      <c r="H7" s="3" t="s">
        <v>12</v>
      </c>
      <c r="I7" s="3" t="s">
        <v>13</v>
      </c>
      <c r="L7" t="s">
        <v>24</v>
      </c>
    </row>
    <row r="8" spans="2:12" x14ac:dyDescent="0.25">
      <c r="B8" t="s">
        <v>14</v>
      </c>
      <c r="C8" t="s">
        <v>10</v>
      </c>
      <c r="D8" t="s">
        <v>25</v>
      </c>
      <c r="E8" t="s">
        <v>26</v>
      </c>
      <c r="F8" t="s">
        <v>12</v>
      </c>
      <c r="G8" t="s">
        <v>13</v>
      </c>
      <c r="H8" t="s">
        <v>13</v>
      </c>
      <c r="I8" t="s">
        <v>13</v>
      </c>
    </row>
    <row r="9" spans="2:12" x14ac:dyDescent="0.25">
      <c r="B9" s="3" t="s">
        <v>17</v>
      </c>
      <c r="C9" s="3" t="s">
        <v>10</v>
      </c>
      <c r="D9" s="3" t="s">
        <v>27</v>
      </c>
      <c r="E9" s="3" t="s">
        <v>26</v>
      </c>
      <c r="F9" s="3" t="s">
        <v>13</v>
      </c>
      <c r="G9" s="3" t="s">
        <v>12</v>
      </c>
      <c r="H9" s="3" t="s">
        <v>12</v>
      </c>
      <c r="I9" s="3" t="s">
        <v>13</v>
      </c>
      <c r="L9" t="s">
        <v>28</v>
      </c>
    </row>
    <row r="10" spans="2:12" x14ac:dyDescent="0.25">
      <c r="B10" t="s">
        <v>14</v>
      </c>
      <c r="C10" t="s">
        <v>10</v>
      </c>
      <c r="D10" t="s">
        <v>29</v>
      </c>
      <c r="E10" t="s">
        <v>30</v>
      </c>
      <c r="F10" t="s">
        <v>12</v>
      </c>
      <c r="G10" t="s">
        <v>13</v>
      </c>
      <c r="H10" t="s">
        <v>13</v>
      </c>
      <c r="I10" t="s">
        <v>13</v>
      </c>
    </row>
    <row r="11" spans="2:12" x14ac:dyDescent="0.25">
      <c r="B11" t="s">
        <v>17</v>
      </c>
      <c r="C11" t="s">
        <v>10</v>
      </c>
      <c r="D11" t="s">
        <v>31</v>
      </c>
      <c r="E11" t="s">
        <v>32</v>
      </c>
      <c r="F11" t="s">
        <v>13</v>
      </c>
      <c r="G11" t="s">
        <v>12</v>
      </c>
      <c r="H11" t="s">
        <v>13</v>
      </c>
      <c r="I11" t="s">
        <v>13</v>
      </c>
    </row>
    <row r="12" spans="2:12" x14ac:dyDescent="0.25">
      <c r="B12" t="s">
        <v>14</v>
      </c>
      <c r="C12" t="s">
        <v>10</v>
      </c>
      <c r="D12" t="s">
        <v>33</v>
      </c>
      <c r="E12" t="s">
        <v>34</v>
      </c>
      <c r="F12" t="s">
        <v>12</v>
      </c>
      <c r="G12" t="s">
        <v>13</v>
      </c>
      <c r="H12" t="s">
        <v>13</v>
      </c>
      <c r="I12" t="s">
        <v>13</v>
      </c>
    </row>
    <row r="13" spans="2:12" x14ac:dyDescent="0.25">
      <c r="B13" t="s">
        <v>17</v>
      </c>
      <c r="C13" t="s">
        <v>10</v>
      </c>
      <c r="D13" t="s">
        <v>35</v>
      </c>
      <c r="E13" t="s">
        <v>34</v>
      </c>
      <c r="F13" t="s">
        <v>13</v>
      </c>
      <c r="G13" t="s">
        <v>12</v>
      </c>
      <c r="H13" t="s">
        <v>13</v>
      </c>
      <c r="I13" t="s">
        <v>12</v>
      </c>
    </row>
    <row r="14" spans="2:12" x14ac:dyDescent="0.25">
      <c r="B14" t="s">
        <v>14</v>
      </c>
      <c r="C14" t="s">
        <v>10</v>
      </c>
      <c r="D14" t="s">
        <v>36</v>
      </c>
      <c r="E14" t="s">
        <v>37</v>
      </c>
      <c r="F14" t="s">
        <v>12</v>
      </c>
      <c r="G14" t="s">
        <v>13</v>
      </c>
      <c r="H14" t="s">
        <v>13</v>
      </c>
      <c r="I14" t="s">
        <v>13</v>
      </c>
      <c r="L14" t="s">
        <v>38</v>
      </c>
    </row>
    <row r="15" spans="2:12" x14ac:dyDescent="0.25">
      <c r="B15" s="3" t="s">
        <v>17</v>
      </c>
      <c r="C15" s="3" t="s">
        <v>10</v>
      </c>
      <c r="D15" s="3" t="s">
        <v>39</v>
      </c>
      <c r="E15" s="3" t="s">
        <v>40</v>
      </c>
      <c r="F15" s="3" t="s">
        <v>13</v>
      </c>
      <c r="G15" s="3" t="s">
        <v>12</v>
      </c>
      <c r="H15" s="3" t="s">
        <v>12</v>
      </c>
      <c r="I15" s="3" t="s">
        <v>13</v>
      </c>
      <c r="L15" s="4" t="s">
        <v>41</v>
      </c>
    </row>
    <row r="16" spans="2:12" x14ac:dyDescent="0.25">
      <c r="B16" s="3" t="s">
        <v>17</v>
      </c>
      <c r="C16" s="3" t="s">
        <v>10</v>
      </c>
      <c r="D16" s="3" t="s">
        <v>42</v>
      </c>
      <c r="E16" s="3" t="s">
        <v>43</v>
      </c>
      <c r="F16" s="3" t="s">
        <v>13</v>
      </c>
      <c r="G16" s="3" t="s">
        <v>12</v>
      </c>
      <c r="H16" s="3" t="s">
        <v>12</v>
      </c>
      <c r="I16" s="3" t="s">
        <v>13</v>
      </c>
      <c r="L16" s="4"/>
    </row>
    <row r="17" spans="2:12" x14ac:dyDescent="0.25">
      <c r="B17" s="3" t="s">
        <v>17</v>
      </c>
      <c r="C17" s="3" t="s">
        <v>10</v>
      </c>
      <c r="D17" s="3" t="s">
        <v>44</v>
      </c>
      <c r="E17" s="3" t="s">
        <v>45</v>
      </c>
      <c r="F17" s="3" t="s">
        <v>13</v>
      </c>
      <c r="G17" s="3" t="s">
        <v>12</v>
      </c>
      <c r="H17" s="3" t="s">
        <v>12</v>
      </c>
      <c r="I17" s="3" t="s">
        <v>13</v>
      </c>
      <c r="L17" s="4"/>
    </row>
    <row r="18" spans="2:12" x14ac:dyDescent="0.25">
      <c r="B18" s="3" t="s">
        <v>17</v>
      </c>
      <c r="C18" s="3" t="s">
        <v>10</v>
      </c>
      <c r="D18" s="3" t="s">
        <v>46</v>
      </c>
      <c r="E18" s="3" t="s">
        <v>47</v>
      </c>
      <c r="F18" s="3" t="s">
        <v>13</v>
      </c>
      <c r="G18" s="3" t="s">
        <v>12</v>
      </c>
      <c r="H18" s="3" t="s">
        <v>12</v>
      </c>
      <c r="I18" s="3" t="s">
        <v>13</v>
      </c>
      <c r="L18" s="4"/>
    </row>
    <row r="19" spans="2:12" x14ac:dyDescent="0.25">
      <c r="B19" s="3" t="s">
        <v>17</v>
      </c>
      <c r="C19" s="3" t="s">
        <v>10</v>
      </c>
      <c r="D19" s="3" t="s">
        <v>48</v>
      </c>
      <c r="E19" s="3" t="s">
        <v>49</v>
      </c>
      <c r="F19" s="3" t="s">
        <v>13</v>
      </c>
      <c r="G19" s="3" t="s">
        <v>12</v>
      </c>
      <c r="H19" s="3" t="s">
        <v>12</v>
      </c>
      <c r="I19" s="3" t="s">
        <v>13</v>
      </c>
      <c r="L19" s="4"/>
    </row>
    <row r="20" spans="2:12" x14ac:dyDescent="0.25">
      <c r="B20" s="3" t="s">
        <v>17</v>
      </c>
      <c r="C20" s="3" t="s">
        <v>10</v>
      </c>
      <c r="D20" s="3" t="s">
        <v>50</v>
      </c>
      <c r="E20" s="3" t="s">
        <v>51</v>
      </c>
      <c r="F20" s="3" t="s">
        <v>13</v>
      </c>
      <c r="G20" s="3" t="s">
        <v>12</v>
      </c>
      <c r="H20" s="3" t="s">
        <v>12</v>
      </c>
      <c r="I20" s="3" t="s">
        <v>13</v>
      </c>
      <c r="L20" s="4"/>
    </row>
    <row r="21" spans="2:12" x14ac:dyDescent="0.25">
      <c r="B21" s="3" t="s">
        <v>17</v>
      </c>
      <c r="C21" s="3" t="s">
        <v>10</v>
      </c>
      <c r="D21" s="3" t="s">
        <v>52</v>
      </c>
      <c r="E21" s="3" t="s">
        <v>53</v>
      </c>
      <c r="F21" s="3" t="s">
        <v>13</v>
      </c>
      <c r="G21" s="3" t="s">
        <v>12</v>
      </c>
      <c r="H21" s="3" t="s">
        <v>12</v>
      </c>
      <c r="I21" s="3" t="s">
        <v>13</v>
      </c>
      <c r="L21" s="4"/>
    </row>
    <row r="22" spans="2:12" x14ac:dyDescent="0.25">
      <c r="B22" s="3" t="s">
        <v>17</v>
      </c>
      <c r="C22" s="3" t="s">
        <v>10</v>
      </c>
      <c r="D22" s="3" t="s">
        <v>54</v>
      </c>
      <c r="E22" s="3" t="s">
        <v>55</v>
      </c>
      <c r="F22" s="3" t="s">
        <v>13</v>
      </c>
      <c r="G22" s="3" t="s">
        <v>12</v>
      </c>
      <c r="H22" s="3" t="s">
        <v>12</v>
      </c>
      <c r="I22" s="3" t="s">
        <v>13</v>
      </c>
      <c r="L22" s="4"/>
    </row>
    <row r="23" spans="2:12" x14ac:dyDescent="0.25">
      <c r="B23" s="3" t="s">
        <v>17</v>
      </c>
      <c r="C23" s="3" t="s">
        <v>10</v>
      </c>
      <c r="D23" s="3" t="s">
        <v>56</v>
      </c>
      <c r="E23" s="3" t="s">
        <v>57</v>
      </c>
      <c r="F23" s="3" t="s">
        <v>13</v>
      </c>
      <c r="G23" s="3" t="s">
        <v>12</v>
      </c>
      <c r="H23" s="3" t="s">
        <v>12</v>
      </c>
      <c r="I23" s="3" t="s">
        <v>13</v>
      </c>
      <c r="L23" s="4"/>
    </row>
    <row r="24" spans="2:12" x14ac:dyDescent="0.25">
      <c r="B24" s="3" t="s">
        <v>17</v>
      </c>
      <c r="C24" s="3" t="s">
        <v>10</v>
      </c>
      <c r="D24" s="3" t="s">
        <v>58</v>
      </c>
      <c r="E24" s="3" t="s">
        <v>59</v>
      </c>
      <c r="F24" s="3" t="s">
        <v>13</v>
      </c>
      <c r="G24" s="3" t="s">
        <v>12</v>
      </c>
      <c r="H24" s="3" t="s">
        <v>12</v>
      </c>
      <c r="I24" s="3" t="s">
        <v>13</v>
      </c>
      <c r="L24" s="4"/>
    </row>
    <row r="25" spans="2:12" x14ac:dyDescent="0.25">
      <c r="B25" s="3" t="s">
        <v>17</v>
      </c>
      <c r="C25" s="3" t="s">
        <v>10</v>
      </c>
      <c r="D25" s="3" t="s">
        <v>60</v>
      </c>
      <c r="E25" s="3" t="s">
        <v>61</v>
      </c>
      <c r="F25" s="3" t="s">
        <v>13</v>
      </c>
      <c r="G25" s="3" t="s">
        <v>12</v>
      </c>
      <c r="H25" s="3" t="s">
        <v>12</v>
      </c>
      <c r="I25" s="3" t="s">
        <v>13</v>
      </c>
      <c r="L25" s="4"/>
    </row>
    <row r="26" spans="2:12" x14ac:dyDescent="0.25">
      <c r="B26" s="3" t="s">
        <v>17</v>
      </c>
      <c r="C26" s="3" t="s">
        <v>10</v>
      </c>
      <c r="D26" s="3" t="s">
        <v>62</v>
      </c>
      <c r="E26" s="3" t="s">
        <v>63</v>
      </c>
      <c r="F26" s="3" t="s">
        <v>13</v>
      </c>
      <c r="G26" s="3" t="s">
        <v>12</v>
      </c>
      <c r="H26" s="3" t="s">
        <v>12</v>
      </c>
      <c r="I26" s="3" t="s">
        <v>13</v>
      </c>
      <c r="L26" s="4"/>
    </row>
    <row r="27" spans="2:12" x14ac:dyDescent="0.25">
      <c r="B27" s="3" t="s">
        <v>17</v>
      </c>
      <c r="C27" s="3" t="s">
        <v>10</v>
      </c>
      <c r="D27" s="3" t="s">
        <v>64</v>
      </c>
      <c r="E27" s="3" t="s">
        <v>65</v>
      </c>
      <c r="F27" s="3" t="s">
        <v>13</v>
      </c>
      <c r="G27" s="3" t="s">
        <v>12</v>
      </c>
      <c r="H27" s="3" t="s">
        <v>12</v>
      </c>
      <c r="I27" s="3" t="s">
        <v>13</v>
      </c>
      <c r="L27" s="4"/>
    </row>
    <row r="28" spans="2:12" x14ac:dyDescent="0.25">
      <c r="B28" s="3" t="s">
        <v>17</v>
      </c>
      <c r="C28" s="3" t="s">
        <v>10</v>
      </c>
      <c r="D28" s="3" t="s">
        <v>66</v>
      </c>
      <c r="E28" s="3" t="s">
        <v>67</v>
      </c>
      <c r="F28" s="3" t="s">
        <v>13</v>
      </c>
      <c r="G28" s="3" t="s">
        <v>12</v>
      </c>
      <c r="H28" s="3" t="s">
        <v>12</v>
      </c>
      <c r="I28" s="3" t="s">
        <v>13</v>
      </c>
      <c r="L28" s="4"/>
    </row>
    <row r="29" spans="2:12" x14ac:dyDescent="0.25">
      <c r="B29" s="3" t="s">
        <v>17</v>
      </c>
      <c r="C29" s="3" t="s">
        <v>10</v>
      </c>
      <c r="D29" s="3" t="s">
        <v>68</v>
      </c>
      <c r="E29" s="3" t="s">
        <v>69</v>
      </c>
      <c r="F29" s="3" t="s">
        <v>13</v>
      </c>
      <c r="G29" s="3" t="s">
        <v>12</v>
      </c>
      <c r="H29" s="3" t="s">
        <v>12</v>
      </c>
      <c r="I29" s="3" t="s">
        <v>13</v>
      </c>
      <c r="L29" s="4"/>
    </row>
    <row r="30" spans="2:12" x14ac:dyDescent="0.25">
      <c r="B30" s="3" t="s">
        <v>17</v>
      </c>
      <c r="C30" s="3" t="s">
        <v>10</v>
      </c>
      <c r="D30" s="3" t="s">
        <v>70</v>
      </c>
      <c r="E30" s="3" t="s">
        <v>71</v>
      </c>
      <c r="F30" s="3" t="s">
        <v>13</v>
      </c>
      <c r="G30" s="3" t="s">
        <v>12</v>
      </c>
      <c r="H30" s="3" t="s">
        <v>12</v>
      </c>
      <c r="I30" s="3" t="s">
        <v>13</v>
      </c>
      <c r="L30" s="4"/>
    </row>
    <row r="31" spans="2:12" x14ac:dyDescent="0.25">
      <c r="B31" s="3" t="s">
        <v>17</v>
      </c>
      <c r="C31" s="3" t="s">
        <v>10</v>
      </c>
      <c r="D31" s="3" t="s">
        <v>72</v>
      </c>
      <c r="E31" s="3" t="s">
        <v>73</v>
      </c>
      <c r="F31" s="3" t="s">
        <v>13</v>
      </c>
      <c r="G31" s="3" t="s">
        <v>12</v>
      </c>
      <c r="H31" s="3" t="s">
        <v>12</v>
      </c>
      <c r="I31" s="3" t="s">
        <v>13</v>
      </c>
      <c r="L31" s="4"/>
    </row>
    <row r="32" spans="2:12" x14ac:dyDescent="0.25">
      <c r="B32" s="3" t="s">
        <v>17</v>
      </c>
      <c r="C32" s="3" t="s">
        <v>10</v>
      </c>
      <c r="D32" s="3" t="s">
        <v>74</v>
      </c>
      <c r="E32" s="3" t="s">
        <v>75</v>
      </c>
      <c r="F32" s="3" t="s">
        <v>13</v>
      </c>
      <c r="G32" s="3" t="s">
        <v>12</v>
      </c>
      <c r="H32" s="3" t="s">
        <v>12</v>
      </c>
      <c r="I32" s="3" t="s">
        <v>13</v>
      </c>
      <c r="L32" s="4"/>
    </row>
    <row r="33" spans="2:12" x14ac:dyDescent="0.25">
      <c r="B33" s="3" t="s">
        <v>17</v>
      </c>
      <c r="C33" s="3" t="s">
        <v>10</v>
      </c>
      <c r="D33" s="3" t="s">
        <v>76</v>
      </c>
      <c r="E33" s="3" t="s">
        <v>77</v>
      </c>
      <c r="F33" s="3" t="s">
        <v>13</v>
      </c>
      <c r="G33" s="3" t="s">
        <v>12</v>
      </c>
      <c r="H33" s="3" t="s">
        <v>12</v>
      </c>
      <c r="I33" s="3" t="s">
        <v>13</v>
      </c>
      <c r="L33" s="4"/>
    </row>
    <row r="34" spans="2:12" x14ac:dyDescent="0.25">
      <c r="B34" s="3" t="s">
        <v>17</v>
      </c>
      <c r="C34" s="3" t="s">
        <v>10</v>
      </c>
      <c r="D34" s="3" t="s">
        <v>78</v>
      </c>
      <c r="E34" s="3" t="s">
        <v>79</v>
      </c>
      <c r="F34" s="3" t="s">
        <v>13</v>
      </c>
      <c r="G34" s="3" t="s">
        <v>12</v>
      </c>
      <c r="H34" s="3" t="s">
        <v>12</v>
      </c>
      <c r="I34" s="3" t="s">
        <v>13</v>
      </c>
      <c r="L34" s="4"/>
    </row>
    <row r="35" spans="2:12" x14ac:dyDescent="0.25">
      <c r="B35" s="7" t="s">
        <v>17</v>
      </c>
      <c r="C35" s="7" t="s">
        <v>10</v>
      </c>
      <c r="D35" s="7" t="s">
        <v>377</v>
      </c>
      <c r="E35" s="8" t="s">
        <v>378</v>
      </c>
      <c r="F35" s="7"/>
      <c r="G35" s="7"/>
      <c r="H35" s="7"/>
      <c r="I35" s="7"/>
      <c r="J35" s="6"/>
      <c r="L35" s="4"/>
    </row>
    <row r="36" spans="2:12" x14ac:dyDescent="0.25">
      <c r="B36" s="7" t="s">
        <v>17</v>
      </c>
      <c r="C36" s="7" t="s">
        <v>10</v>
      </c>
      <c r="D36" s="7" t="s">
        <v>379</v>
      </c>
      <c r="E36" s="8" t="s">
        <v>380</v>
      </c>
      <c r="F36" s="7"/>
      <c r="G36" s="7"/>
      <c r="H36" s="7"/>
      <c r="I36" s="7"/>
      <c r="J36" s="6"/>
      <c r="L36" s="4"/>
    </row>
    <row r="37" spans="2:12" x14ac:dyDescent="0.25">
      <c r="B37" t="s">
        <v>14</v>
      </c>
      <c r="C37" t="s">
        <v>10</v>
      </c>
      <c r="D37" t="s">
        <v>80</v>
      </c>
      <c r="E37" t="s">
        <v>81</v>
      </c>
      <c r="F37" t="s">
        <v>12</v>
      </c>
      <c r="G37" t="s">
        <v>13</v>
      </c>
      <c r="H37" t="s">
        <v>13</v>
      </c>
      <c r="I37" t="s">
        <v>13</v>
      </c>
    </row>
    <row r="38" spans="2:12" x14ac:dyDescent="0.25">
      <c r="B38" s="3" t="s">
        <v>17</v>
      </c>
      <c r="C38" s="3" t="s">
        <v>10</v>
      </c>
      <c r="D38" s="3" t="s">
        <v>82</v>
      </c>
      <c r="E38" s="3" t="s">
        <v>83</v>
      </c>
      <c r="F38" s="3" t="s">
        <v>13</v>
      </c>
      <c r="G38" s="3" t="s">
        <v>12</v>
      </c>
      <c r="H38" s="3" t="s">
        <v>12</v>
      </c>
      <c r="I38" s="3" t="s">
        <v>13</v>
      </c>
      <c r="L38" s="4"/>
    </row>
    <row r="39" spans="2:12" x14ac:dyDescent="0.25">
      <c r="B39" s="3" t="s">
        <v>17</v>
      </c>
      <c r="C39" s="3" t="s">
        <v>10</v>
      </c>
      <c r="D39" s="3" t="s">
        <v>84</v>
      </c>
      <c r="E39" s="3" t="s">
        <v>85</v>
      </c>
      <c r="F39" s="3" t="s">
        <v>13</v>
      </c>
      <c r="G39" s="3" t="s">
        <v>12</v>
      </c>
      <c r="H39" s="3" t="s">
        <v>12</v>
      </c>
      <c r="I39" s="3" t="s">
        <v>13</v>
      </c>
      <c r="L39" s="4"/>
    </row>
    <row r="40" spans="2:12" x14ac:dyDescent="0.25">
      <c r="B40" s="3" t="s">
        <v>17</v>
      </c>
      <c r="C40" s="3" t="s">
        <v>10</v>
      </c>
      <c r="D40" s="3" t="s">
        <v>86</v>
      </c>
      <c r="E40" s="3" t="s">
        <v>87</v>
      </c>
      <c r="F40" s="3" t="s">
        <v>13</v>
      </c>
      <c r="G40" s="3" t="s">
        <v>12</v>
      </c>
      <c r="H40" s="3" t="s">
        <v>12</v>
      </c>
      <c r="I40" s="3" t="s">
        <v>13</v>
      </c>
      <c r="L40" s="4"/>
    </row>
    <row r="41" spans="2:12" x14ac:dyDescent="0.25">
      <c r="B41" s="3" t="s">
        <v>17</v>
      </c>
      <c r="C41" s="3" t="s">
        <v>10</v>
      </c>
      <c r="D41" s="3" t="s">
        <v>88</v>
      </c>
      <c r="E41" s="3" t="s">
        <v>89</v>
      </c>
      <c r="F41" s="3" t="s">
        <v>13</v>
      </c>
      <c r="G41" s="3" t="s">
        <v>12</v>
      </c>
      <c r="H41" s="3" t="s">
        <v>12</v>
      </c>
      <c r="I41" s="3" t="s">
        <v>13</v>
      </c>
      <c r="L41" s="4"/>
    </row>
    <row r="42" spans="2:12" x14ac:dyDescent="0.25">
      <c r="B42" s="3" t="s">
        <v>17</v>
      </c>
      <c r="C42" s="3" t="s">
        <v>10</v>
      </c>
      <c r="D42" s="3" t="s">
        <v>90</v>
      </c>
      <c r="E42" s="3" t="s">
        <v>91</v>
      </c>
      <c r="F42" s="3" t="s">
        <v>13</v>
      </c>
      <c r="G42" s="3" t="s">
        <v>12</v>
      </c>
      <c r="H42" s="3" t="s">
        <v>12</v>
      </c>
      <c r="I42" s="3" t="s">
        <v>13</v>
      </c>
      <c r="L42" s="4"/>
    </row>
    <row r="43" spans="2:12" x14ac:dyDescent="0.25">
      <c r="B43" s="3" t="s">
        <v>17</v>
      </c>
      <c r="C43" s="3" t="s">
        <v>10</v>
      </c>
      <c r="D43" s="3" t="s">
        <v>92</v>
      </c>
      <c r="E43" s="3" t="s">
        <v>93</v>
      </c>
      <c r="F43" s="3" t="s">
        <v>13</v>
      </c>
      <c r="G43" s="3" t="s">
        <v>12</v>
      </c>
      <c r="H43" s="3" t="s">
        <v>12</v>
      </c>
      <c r="I43" s="3" t="s">
        <v>13</v>
      </c>
      <c r="L43" s="4"/>
    </row>
    <row r="44" spans="2:12" x14ac:dyDescent="0.25">
      <c r="B44" s="3" t="s">
        <v>17</v>
      </c>
      <c r="C44" s="3" t="s">
        <v>10</v>
      </c>
      <c r="D44" s="3" t="s">
        <v>94</v>
      </c>
      <c r="E44" s="3" t="s">
        <v>95</v>
      </c>
      <c r="F44" s="3" t="s">
        <v>13</v>
      </c>
      <c r="G44" s="3" t="s">
        <v>12</v>
      </c>
      <c r="H44" s="3" t="s">
        <v>12</v>
      </c>
      <c r="I44" s="3" t="s">
        <v>13</v>
      </c>
      <c r="L44" s="4"/>
    </row>
    <row r="45" spans="2:12" x14ac:dyDescent="0.25">
      <c r="B45" s="3" t="s">
        <v>17</v>
      </c>
      <c r="C45" s="3" t="s">
        <v>10</v>
      </c>
      <c r="D45" s="3" t="s">
        <v>96</v>
      </c>
      <c r="E45" s="3" t="s">
        <v>97</v>
      </c>
      <c r="F45" s="3" t="s">
        <v>13</v>
      </c>
      <c r="G45" s="3" t="s">
        <v>12</v>
      </c>
      <c r="H45" s="3" t="s">
        <v>12</v>
      </c>
      <c r="I45" s="3" t="s">
        <v>13</v>
      </c>
      <c r="L45" s="4"/>
    </row>
    <row r="46" spans="2:12" x14ac:dyDescent="0.25">
      <c r="B46" s="3" t="s">
        <v>17</v>
      </c>
      <c r="C46" s="3" t="s">
        <v>10</v>
      </c>
      <c r="D46" s="3" t="s">
        <v>98</v>
      </c>
      <c r="E46" s="3" t="s">
        <v>99</v>
      </c>
      <c r="F46" s="3" t="s">
        <v>13</v>
      </c>
      <c r="G46" s="3" t="s">
        <v>12</v>
      </c>
      <c r="H46" s="3" t="s">
        <v>12</v>
      </c>
      <c r="I46" s="3" t="s">
        <v>13</v>
      </c>
      <c r="L46" s="4"/>
    </row>
    <row r="47" spans="2:12" x14ac:dyDescent="0.25">
      <c r="B47" s="3" t="s">
        <v>17</v>
      </c>
      <c r="C47" s="3" t="s">
        <v>10</v>
      </c>
      <c r="D47" s="3" t="s">
        <v>100</v>
      </c>
      <c r="E47" s="3" t="s">
        <v>101</v>
      </c>
      <c r="F47" s="3" t="s">
        <v>13</v>
      </c>
      <c r="G47" s="3" t="s">
        <v>12</v>
      </c>
      <c r="H47" s="3" t="s">
        <v>12</v>
      </c>
      <c r="I47" s="3" t="s">
        <v>13</v>
      </c>
      <c r="L47" s="4"/>
    </row>
    <row r="48" spans="2:12" x14ac:dyDescent="0.25">
      <c r="B48" s="3" t="s">
        <v>17</v>
      </c>
      <c r="C48" s="3" t="s">
        <v>10</v>
      </c>
      <c r="D48" s="3" t="s">
        <v>102</v>
      </c>
      <c r="E48" s="3" t="s">
        <v>103</v>
      </c>
      <c r="F48" s="3" t="s">
        <v>13</v>
      </c>
      <c r="G48" s="3" t="s">
        <v>12</v>
      </c>
      <c r="H48" s="3" t="s">
        <v>12</v>
      </c>
      <c r="I48" s="3" t="s">
        <v>13</v>
      </c>
      <c r="L48" s="4"/>
    </row>
    <row r="49" spans="2:12" x14ac:dyDescent="0.25">
      <c r="B49" s="3" t="s">
        <v>17</v>
      </c>
      <c r="C49" s="3" t="s">
        <v>10</v>
      </c>
      <c r="D49" s="3" t="s">
        <v>104</v>
      </c>
      <c r="E49" s="3" t="s">
        <v>105</v>
      </c>
      <c r="F49" s="3" t="s">
        <v>13</v>
      </c>
      <c r="G49" s="3" t="s">
        <v>12</v>
      </c>
      <c r="H49" s="3" t="s">
        <v>12</v>
      </c>
      <c r="I49" s="3" t="s">
        <v>13</v>
      </c>
      <c r="L49" s="4"/>
    </row>
    <row r="50" spans="2:12" x14ac:dyDescent="0.25">
      <c r="B50" s="3" t="s">
        <v>17</v>
      </c>
      <c r="C50" s="3" t="s">
        <v>10</v>
      </c>
      <c r="D50" s="3" t="s">
        <v>106</v>
      </c>
      <c r="E50" s="3" t="s">
        <v>107</v>
      </c>
      <c r="F50" s="3" t="s">
        <v>13</v>
      </c>
      <c r="G50" s="3" t="s">
        <v>12</v>
      </c>
      <c r="H50" s="3" t="s">
        <v>12</v>
      </c>
      <c r="I50" s="3" t="s">
        <v>13</v>
      </c>
      <c r="L50" s="4"/>
    </row>
    <row r="51" spans="2:12" x14ac:dyDescent="0.25">
      <c r="B51" s="3" t="s">
        <v>17</v>
      </c>
      <c r="C51" s="3" t="s">
        <v>10</v>
      </c>
      <c r="D51" s="3" t="s">
        <v>108</v>
      </c>
      <c r="E51" s="3" t="s">
        <v>109</v>
      </c>
      <c r="F51" s="3" t="s">
        <v>13</v>
      </c>
      <c r="G51" s="3" t="s">
        <v>12</v>
      </c>
      <c r="H51" s="3" t="s">
        <v>12</v>
      </c>
      <c r="I51" s="3" t="s">
        <v>13</v>
      </c>
      <c r="L51" s="4"/>
    </row>
    <row r="52" spans="2:12" x14ac:dyDescent="0.25">
      <c r="B52" s="3" t="s">
        <v>17</v>
      </c>
      <c r="C52" s="3" t="s">
        <v>10</v>
      </c>
      <c r="D52" s="3" t="s">
        <v>110</v>
      </c>
      <c r="E52" s="3" t="s">
        <v>111</v>
      </c>
      <c r="F52" s="3" t="s">
        <v>13</v>
      </c>
      <c r="G52" s="3" t="s">
        <v>12</v>
      </c>
      <c r="H52" s="3" t="s">
        <v>12</v>
      </c>
      <c r="I52" s="3" t="s">
        <v>13</v>
      </c>
      <c r="L52" s="4"/>
    </row>
    <row r="53" spans="2:12" x14ac:dyDescent="0.25">
      <c r="B53" s="3" t="s">
        <v>17</v>
      </c>
      <c r="C53" s="3" t="s">
        <v>10</v>
      </c>
      <c r="D53" s="3" t="s">
        <v>112</v>
      </c>
      <c r="E53" s="3" t="s">
        <v>113</v>
      </c>
      <c r="F53" s="3" t="s">
        <v>13</v>
      </c>
      <c r="G53" s="3" t="s">
        <v>12</v>
      </c>
      <c r="H53" s="3" t="s">
        <v>12</v>
      </c>
      <c r="I53" s="3" t="s">
        <v>13</v>
      </c>
      <c r="L53" s="4"/>
    </row>
    <row r="54" spans="2:12" x14ac:dyDescent="0.25">
      <c r="B54" s="3" t="s">
        <v>17</v>
      </c>
      <c r="C54" s="3" t="s">
        <v>10</v>
      </c>
      <c r="D54" s="3" t="s">
        <v>114</v>
      </c>
      <c r="E54" s="3" t="s">
        <v>115</v>
      </c>
      <c r="F54" s="3" t="s">
        <v>13</v>
      </c>
      <c r="G54" s="3" t="s">
        <v>12</v>
      </c>
      <c r="H54" s="3" t="s">
        <v>12</v>
      </c>
      <c r="I54" s="3" t="s">
        <v>13</v>
      </c>
      <c r="L54" s="4"/>
    </row>
    <row r="55" spans="2:12" x14ac:dyDescent="0.25">
      <c r="B55" s="3" t="s">
        <v>17</v>
      </c>
      <c r="C55" s="3" t="s">
        <v>10</v>
      </c>
      <c r="D55" s="3" t="s">
        <v>116</v>
      </c>
      <c r="E55" s="3" t="s">
        <v>117</v>
      </c>
      <c r="F55" s="3" t="s">
        <v>13</v>
      </c>
      <c r="G55" s="3" t="s">
        <v>12</v>
      </c>
      <c r="H55" s="3" t="s">
        <v>12</v>
      </c>
      <c r="I55" s="3" t="s">
        <v>13</v>
      </c>
      <c r="L55" s="4"/>
    </row>
    <row r="56" spans="2:12" x14ac:dyDescent="0.25">
      <c r="B56" s="3" t="s">
        <v>17</v>
      </c>
      <c r="C56" s="3" t="s">
        <v>10</v>
      </c>
      <c r="D56" s="3" t="s">
        <v>118</v>
      </c>
      <c r="E56" s="3" t="s">
        <v>119</v>
      </c>
      <c r="F56" s="3" t="s">
        <v>13</v>
      </c>
      <c r="G56" s="3" t="s">
        <v>12</v>
      </c>
      <c r="H56" s="3" t="s">
        <v>12</v>
      </c>
      <c r="I56" s="3" t="s">
        <v>13</v>
      </c>
      <c r="L56" s="4"/>
    </row>
    <row r="57" spans="2:12" x14ac:dyDescent="0.25">
      <c r="B57" s="3" t="s">
        <v>17</v>
      </c>
      <c r="C57" s="3" t="s">
        <v>10</v>
      </c>
      <c r="D57" s="3" t="s">
        <v>120</v>
      </c>
      <c r="E57" s="3" t="s">
        <v>121</v>
      </c>
      <c r="F57" s="3" t="s">
        <v>13</v>
      </c>
      <c r="G57" s="3" t="s">
        <v>12</v>
      </c>
      <c r="H57" s="3" t="s">
        <v>12</v>
      </c>
      <c r="I57" s="3" t="s">
        <v>13</v>
      </c>
      <c r="L57" s="4"/>
    </row>
    <row r="58" spans="2:12" x14ac:dyDescent="0.25">
      <c r="B58" t="s">
        <v>14</v>
      </c>
      <c r="C58" t="s">
        <v>10</v>
      </c>
      <c r="D58" t="s">
        <v>122</v>
      </c>
      <c r="E58" t="s">
        <v>123</v>
      </c>
      <c r="F58" t="s">
        <v>12</v>
      </c>
      <c r="G58" t="s">
        <v>13</v>
      </c>
      <c r="H58" t="s">
        <v>13</v>
      </c>
      <c r="I58" t="s">
        <v>13</v>
      </c>
      <c r="L58" t="s">
        <v>124</v>
      </c>
    </row>
    <row r="59" spans="2:12" x14ac:dyDescent="0.25">
      <c r="B59" t="s">
        <v>17</v>
      </c>
      <c r="C59" t="s">
        <v>10</v>
      </c>
      <c r="D59" t="s">
        <v>125</v>
      </c>
      <c r="E59" t="s">
        <v>126</v>
      </c>
      <c r="F59" t="s">
        <v>13</v>
      </c>
      <c r="G59" t="s">
        <v>12</v>
      </c>
      <c r="H59" t="s">
        <v>13</v>
      </c>
      <c r="I59" t="s">
        <v>13</v>
      </c>
      <c r="L59" s="4"/>
    </row>
    <row r="60" spans="2:12" x14ac:dyDescent="0.25">
      <c r="B60" t="s">
        <v>17</v>
      </c>
      <c r="C60" t="s">
        <v>10</v>
      </c>
      <c r="D60" t="s">
        <v>127</v>
      </c>
      <c r="E60" t="s">
        <v>128</v>
      </c>
      <c r="F60" t="s">
        <v>13</v>
      </c>
      <c r="G60" t="s">
        <v>12</v>
      </c>
      <c r="H60" t="s">
        <v>13</v>
      </c>
      <c r="I60" t="s">
        <v>13</v>
      </c>
      <c r="L60" s="4"/>
    </row>
    <row r="61" spans="2:12" x14ac:dyDescent="0.25">
      <c r="B61" t="s">
        <v>17</v>
      </c>
      <c r="C61" t="s">
        <v>10</v>
      </c>
      <c r="D61" t="s">
        <v>129</v>
      </c>
      <c r="E61" t="s">
        <v>130</v>
      </c>
      <c r="F61" t="s">
        <v>13</v>
      </c>
      <c r="G61" t="s">
        <v>12</v>
      </c>
      <c r="H61" t="s">
        <v>13</v>
      </c>
      <c r="I61" t="s">
        <v>13</v>
      </c>
      <c r="L61" s="4"/>
    </row>
    <row r="62" spans="2:12" x14ac:dyDescent="0.25">
      <c r="B62" t="s">
        <v>17</v>
      </c>
      <c r="C62" t="s">
        <v>10</v>
      </c>
      <c r="D62" t="s">
        <v>131</v>
      </c>
      <c r="E62" t="s">
        <v>132</v>
      </c>
      <c r="F62" t="s">
        <v>13</v>
      </c>
      <c r="G62" t="s">
        <v>12</v>
      </c>
      <c r="H62" t="s">
        <v>13</v>
      </c>
      <c r="I62" t="s">
        <v>13</v>
      </c>
      <c r="L62" s="4"/>
    </row>
    <row r="63" spans="2:12" x14ac:dyDescent="0.25">
      <c r="B63" t="s">
        <v>17</v>
      </c>
      <c r="C63" t="s">
        <v>10</v>
      </c>
      <c r="D63" t="s">
        <v>133</v>
      </c>
      <c r="E63" t="s">
        <v>134</v>
      </c>
      <c r="F63" t="s">
        <v>13</v>
      </c>
      <c r="G63" t="s">
        <v>12</v>
      </c>
      <c r="H63" t="s">
        <v>13</v>
      </c>
      <c r="I63" t="s">
        <v>13</v>
      </c>
      <c r="L63" s="4"/>
    </row>
    <row r="64" spans="2:12" x14ac:dyDescent="0.25">
      <c r="B64" t="s">
        <v>17</v>
      </c>
      <c r="C64" t="s">
        <v>10</v>
      </c>
      <c r="D64" t="s">
        <v>135</v>
      </c>
      <c r="E64" t="s">
        <v>136</v>
      </c>
      <c r="F64" t="s">
        <v>13</v>
      </c>
      <c r="G64" t="s">
        <v>12</v>
      </c>
      <c r="H64" t="s">
        <v>13</v>
      </c>
      <c r="I64" t="s">
        <v>13</v>
      </c>
      <c r="L64" s="4"/>
    </row>
    <row r="65" spans="2:12" x14ac:dyDescent="0.25">
      <c r="B65" t="s">
        <v>17</v>
      </c>
      <c r="C65" t="s">
        <v>10</v>
      </c>
      <c r="D65" t="s">
        <v>137</v>
      </c>
      <c r="E65" t="s">
        <v>138</v>
      </c>
      <c r="F65" t="s">
        <v>13</v>
      </c>
      <c r="G65" t="s">
        <v>12</v>
      </c>
      <c r="H65" t="s">
        <v>13</v>
      </c>
      <c r="I65" t="s">
        <v>13</v>
      </c>
      <c r="L65" s="4"/>
    </row>
    <row r="66" spans="2:12" x14ac:dyDescent="0.25">
      <c r="B66" t="s">
        <v>17</v>
      </c>
      <c r="C66" t="s">
        <v>10</v>
      </c>
      <c r="D66" t="s">
        <v>139</v>
      </c>
      <c r="E66" t="s">
        <v>140</v>
      </c>
      <c r="F66" t="s">
        <v>13</v>
      </c>
      <c r="G66" t="s">
        <v>12</v>
      </c>
      <c r="H66" t="s">
        <v>13</v>
      </c>
      <c r="I66" t="s">
        <v>13</v>
      </c>
      <c r="L66" s="4"/>
    </row>
    <row r="67" spans="2:12" x14ac:dyDescent="0.25">
      <c r="B67" t="s">
        <v>17</v>
      </c>
      <c r="C67" t="s">
        <v>10</v>
      </c>
      <c r="D67" t="s">
        <v>141</v>
      </c>
      <c r="E67" t="s">
        <v>142</v>
      </c>
      <c r="F67" t="s">
        <v>13</v>
      </c>
      <c r="G67" t="s">
        <v>12</v>
      </c>
      <c r="H67" t="s">
        <v>13</v>
      </c>
      <c r="I67" t="s">
        <v>13</v>
      </c>
      <c r="L67" s="4"/>
    </row>
    <row r="68" spans="2:12" x14ac:dyDescent="0.25">
      <c r="B68" t="s">
        <v>17</v>
      </c>
      <c r="C68" t="s">
        <v>10</v>
      </c>
      <c r="D68" t="s">
        <v>143</v>
      </c>
      <c r="E68" t="s">
        <v>144</v>
      </c>
      <c r="F68" t="s">
        <v>13</v>
      </c>
      <c r="G68" t="s">
        <v>12</v>
      </c>
      <c r="H68" t="s">
        <v>13</v>
      </c>
      <c r="I68" t="s">
        <v>13</v>
      </c>
      <c r="L68" s="4"/>
    </row>
    <row r="69" spans="2:12" x14ac:dyDescent="0.25">
      <c r="B69" t="s">
        <v>17</v>
      </c>
      <c r="C69" t="s">
        <v>10</v>
      </c>
      <c r="D69" t="s">
        <v>145</v>
      </c>
      <c r="E69" t="s">
        <v>146</v>
      </c>
      <c r="F69" t="s">
        <v>13</v>
      </c>
      <c r="G69" t="s">
        <v>12</v>
      </c>
      <c r="H69" t="s">
        <v>13</v>
      </c>
      <c r="I69" t="s">
        <v>13</v>
      </c>
      <c r="L69" s="4"/>
    </row>
    <row r="70" spans="2:12" x14ac:dyDescent="0.25">
      <c r="B70" t="s">
        <v>17</v>
      </c>
      <c r="C70" t="s">
        <v>10</v>
      </c>
      <c r="D70" t="s">
        <v>147</v>
      </c>
      <c r="E70" t="s">
        <v>148</v>
      </c>
      <c r="F70" t="s">
        <v>13</v>
      </c>
      <c r="G70" t="s">
        <v>12</v>
      </c>
      <c r="H70" t="s">
        <v>13</v>
      </c>
      <c r="I70" t="s">
        <v>13</v>
      </c>
      <c r="L70" s="4"/>
    </row>
    <row r="71" spans="2:12" x14ac:dyDescent="0.25">
      <c r="B71" t="s">
        <v>17</v>
      </c>
      <c r="C71" t="s">
        <v>10</v>
      </c>
      <c r="D71" t="s">
        <v>149</v>
      </c>
      <c r="E71" t="s">
        <v>150</v>
      </c>
      <c r="F71" t="s">
        <v>13</v>
      </c>
      <c r="G71" t="s">
        <v>12</v>
      </c>
      <c r="H71" t="s">
        <v>13</v>
      </c>
      <c r="I71" t="s">
        <v>13</v>
      </c>
      <c r="L71" s="4"/>
    </row>
    <row r="72" spans="2:12" x14ac:dyDescent="0.25">
      <c r="B72" t="s">
        <v>17</v>
      </c>
      <c r="C72" t="s">
        <v>10</v>
      </c>
      <c r="D72" t="s">
        <v>151</v>
      </c>
      <c r="E72" t="s">
        <v>152</v>
      </c>
      <c r="F72" t="s">
        <v>13</v>
      </c>
      <c r="G72" t="s">
        <v>12</v>
      </c>
      <c r="H72" t="s">
        <v>13</v>
      </c>
      <c r="I72" t="s">
        <v>13</v>
      </c>
      <c r="L72" s="4"/>
    </row>
    <row r="73" spans="2:12" x14ac:dyDescent="0.25">
      <c r="B73" t="s">
        <v>17</v>
      </c>
      <c r="C73" t="s">
        <v>10</v>
      </c>
      <c r="D73" t="s">
        <v>153</v>
      </c>
      <c r="E73" t="s">
        <v>154</v>
      </c>
      <c r="F73" t="s">
        <v>13</v>
      </c>
      <c r="G73" t="s">
        <v>12</v>
      </c>
      <c r="H73" t="s">
        <v>13</v>
      </c>
      <c r="I73" t="s">
        <v>13</v>
      </c>
      <c r="L73" s="4"/>
    </row>
    <row r="74" spans="2:12" x14ac:dyDescent="0.25">
      <c r="B74" t="s">
        <v>17</v>
      </c>
      <c r="C74" t="s">
        <v>10</v>
      </c>
      <c r="D74" t="s">
        <v>155</v>
      </c>
      <c r="E74" t="s">
        <v>156</v>
      </c>
      <c r="F74" t="s">
        <v>13</v>
      </c>
      <c r="G74" t="s">
        <v>12</v>
      </c>
      <c r="H74" t="s">
        <v>13</v>
      </c>
      <c r="I74" t="s">
        <v>13</v>
      </c>
      <c r="L74" s="4"/>
    </row>
    <row r="75" spans="2:12" x14ac:dyDescent="0.25">
      <c r="B75" t="s">
        <v>17</v>
      </c>
      <c r="C75" t="s">
        <v>10</v>
      </c>
      <c r="D75" t="s">
        <v>157</v>
      </c>
      <c r="E75" t="s">
        <v>158</v>
      </c>
      <c r="F75" t="s">
        <v>13</v>
      </c>
      <c r="G75" t="s">
        <v>12</v>
      </c>
      <c r="H75" t="s">
        <v>13</v>
      </c>
      <c r="I75" t="s">
        <v>13</v>
      </c>
      <c r="L75" s="4"/>
    </row>
    <row r="76" spans="2:12" x14ac:dyDescent="0.25">
      <c r="B76" t="s">
        <v>17</v>
      </c>
      <c r="C76" t="s">
        <v>10</v>
      </c>
      <c r="D76" t="s">
        <v>159</v>
      </c>
      <c r="E76" t="s">
        <v>160</v>
      </c>
      <c r="F76" t="s">
        <v>13</v>
      </c>
      <c r="G76" t="s">
        <v>12</v>
      </c>
      <c r="H76" t="s">
        <v>13</v>
      </c>
      <c r="I76" t="s">
        <v>13</v>
      </c>
      <c r="L76" s="4"/>
    </row>
    <row r="77" spans="2:12" x14ac:dyDescent="0.25">
      <c r="B77" t="s">
        <v>17</v>
      </c>
      <c r="C77" t="s">
        <v>10</v>
      </c>
      <c r="D77" t="s">
        <v>161</v>
      </c>
      <c r="E77" t="s">
        <v>162</v>
      </c>
      <c r="F77" t="s">
        <v>13</v>
      </c>
      <c r="G77" t="s">
        <v>12</v>
      </c>
      <c r="H77" t="s">
        <v>13</v>
      </c>
      <c r="I77" t="s">
        <v>13</v>
      </c>
      <c r="L77" s="4"/>
    </row>
    <row r="78" spans="2:12" x14ac:dyDescent="0.25">
      <c r="B78" t="s">
        <v>17</v>
      </c>
      <c r="C78" t="s">
        <v>10</v>
      </c>
      <c r="D78" t="s">
        <v>163</v>
      </c>
      <c r="E78" t="s">
        <v>164</v>
      </c>
      <c r="F78" t="s">
        <v>13</v>
      </c>
      <c r="G78" t="s">
        <v>12</v>
      </c>
      <c r="H78" t="s">
        <v>13</v>
      </c>
      <c r="I78" t="s">
        <v>13</v>
      </c>
      <c r="L78" s="4"/>
    </row>
    <row r="79" spans="2:12" x14ac:dyDescent="0.25">
      <c r="B79" t="s">
        <v>14</v>
      </c>
      <c r="C79" t="s">
        <v>10</v>
      </c>
      <c r="D79" t="s">
        <v>165</v>
      </c>
      <c r="E79" t="s">
        <v>166</v>
      </c>
      <c r="F79" t="s">
        <v>12</v>
      </c>
      <c r="G79" t="s">
        <v>13</v>
      </c>
      <c r="H79" t="s">
        <v>13</v>
      </c>
      <c r="I79" t="s">
        <v>13</v>
      </c>
    </row>
    <row r="80" spans="2:12" x14ac:dyDescent="0.25">
      <c r="B80" s="3" t="s">
        <v>17</v>
      </c>
      <c r="C80" s="3" t="s">
        <v>10</v>
      </c>
      <c r="D80" s="3" t="s">
        <v>167</v>
      </c>
      <c r="E80" s="3" t="s">
        <v>168</v>
      </c>
      <c r="F80" s="3" t="s">
        <v>13</v>
      </c>
      <c r="G80" s="3" t="s">
        <v>12</v>
      </c>
      <c r="H80" s="3" t="s">
        <v>12</v>
      </c>
      <c r="I80" s="3" t="s">
        <v>13</v>
      </c>
      <c r="L80" s="4" t="s">
        <v>169</v>
      </c>
    </row>
    <row r="81" spans="2:12" x14ac:dyDescent="0.25">
      <c r="B81" s="3" t="s">
        <v>17</v>
      </c>
      <c r="C81" s="3" t="s">
        <v>10</v>
      </c>
      <c r="D81" s="3" t="s">
        <v>170</v>
      </c>
      <c r="E81" s="3" t="s">
        <v>171</v>
      </c>
      <c r="F81" s="3" t="s">
        <v>13</v>
      </c>
      <c r="G81" s="3" t="s">
        <v>12</v>
      </c>
      <c r="H81" s="3" t="s">
        <v>12</v>
      </c>
      <c r="I81" s="3" t="s">
        <v>13</v>
      </c>
      <c r="L81" s="4"/>
    </row>
    <row r="82" spans="2:12" x14ac:dyDescent="0.25">
      <c r="B82" s="3" t="s">
        <v>17</v>
      </c>
      <c r="C82" s="3" t="s">
        <v>10</v>
      </c>
      <c r="D82" s="3" t="s">
        <v>172</v>
      </c>
      <c r="E82" s="3" t="s">
        <v>173</v>
      </c>
      <c r="F82" s="3" t="s">
        <v>13</v>
      </c>
      <c r="G82" s="3" t="s">
        <v>12</v>
      </c>
      <c r="H82" s="3" t="s">
        <v>12</v>
      </c>
      <c r="I82" s="3" t="s">
        <v>13</v>
      </c>
      <c r="L82" s="4"/>
    </row>
    <row r="83" spans="2:12" x14ac:dyDescent="0.25">
      <c r="B83" s="3" t="s">
        <v>17</v>
      </c>
      <c r="C83" s="3" t="s">
        <v>10</v>
      </c>
      <c r="D83" s="3" t="s">
        <v>174</v>
      </c>
      <c r="E83" s="3" t="s">
        <v>175</v>
      </c>
      <c r="F83" s="3" t="s">
        <v>13</v>
      </c>
      <c r="G83" s="3" t="s">
        <v>12</v>
      </c>
      <c r="H83" s="3" t="s">
        <v>12</v>
      </c>
      <c r="I83" s="3" t="s">
        <v>13</v>
      </c>
      <c r="L83" s="4"/>
    </row>
    <row r="84" spans="2:12" x14ac:dyDescent="0.25">
      <c r="B84" s="3" t="s">
        <v>17</v>
      </c>
      <c r="C84" s="3" t="s">
        <v>10</v>
      </c>
      <c r="D84" s="3" t="s">
        <v>176</v>
      </c>
      <c r="E84" s="3" t="s">
        <v>177</v>
      </c>
      <c r="F84" s="3" t="s">
        <v>13</v>
      </c>
      <c r="G84" s="3" t="s">
        <v>12</v>
      </c>
      <c r="H84" s="3" t="s">
        <v>12</v>
      </c>
      <c r="I84" s="3" t="s">
        <v>13</v>
      </c>
      <c r="L84" s="4"/>
    </row>
    <row r="85" spans="2:12" x14ac:dyDescent="0.25">
      <c r="B85" s="3" t="s">
        <v>17</v>
      </c>
      <c r="C85" s="3" t="s">
        <v>10</v>
      </c>
      <c r="D85" s="3" t="s">
        <v>178</v>
      </c>
      <c r="E85" s="3" t="s">
        <v>179</v>
      </c>
      <c r="F85" s="3" t="s">
        <v>13</v>
      </c>
      <c r="G85" s="3" t="s">
        <v>12</v>
      </c>
      <c r="H85" s="3" t="s">
        <v>12</v>
      </c>
      <c r="I85" s="3" t="s">
        <v>13</v>
      </c>
      <c r="L85" s="4"/>
    </row>
    <row r="86" spans="2:12" x14ac:dyDescent="0.25">
      <c r="B86" s="3" t="s">
        <v>17</v>
      </c>
      <c r="C86" s="3" t="s">
        <v>10</v>
      </c>
      <c r="D86" s="3" t="s">
        <v>180</v>
      </c>
      <c r="E86" s="3" t="s">
        <v>181</v>
      </c>
      <c r="F86" s="3" t="s">
        <v>13</v>
      </c>
      <c r="G86" s="3" t="s">
        <v>12</v>
      </c>
      <c r="H86" s="3" t="s">
        <v>12</v>
      </c>
      <c r="I86" s="3" t="s">
        <v>13</v>
      </c>
      <c r="L86" s="4"/>
    </row>
    <row r="87" spans="2:12" x14ac:dyDescent="0.25">
      <c r="B87" s="3" t="s">
        <v>17</v>
      </c>
      <c r="C87" s="3" t="s">
        <v>10</v>
      </c>
      <c r="D87" s="3" t="s">
        <v>182</v>
      </c>
      <c r="E87" s="3" t="s">
        <v>183</v>
      </c>
      <c r="F87" s="3" t="s">
        <v>13</v>
      </c>
      <c r="G87" s="3" t="s">
        <v>12</v>
      </c>
      <c r="H87" s="3" t="s">
        <v>12</v>
      </c>
      <c r="I87" s="3" t="s">
        <v>13</v>
      </c>
      <c r="L87" s="4"/>
    </row>
    <row r="88" spans="2:12" x14ac:dyDescent="0.25">
      <c r="B88" s="3" t="s">
        <v>17</v>
      </c>
      <c r="C88" s="3" t="s">
        <v>10</v>
      </c>
      <c r="D88" s="3" t="s">
        <v>184</v>
      </c>
      <c r="E88" s="3" t="s">
        <v>185</v>
      </c>
      <c r="F88" s="3" t="s">
        <v>13</v>
      </c>
      <c r="G88" s="3" t="s">
        <v>12</v>
      </c>
      <c r="H88" s="3" t="s">
        <v>12</v>
      </c>
      <c r="I88" s="3" t="s">
        <v>13</v>
      </c>
      <c r="L88" s="4"/>
    </row>
    <row r="89" spans="2:12" x14ac:dyDescent="0.25">
      <c r="B89" s="3" t="s">
        <v>17</v>
      </c>
      <c r="C89" s="3" t="s">
        <v>10</v>
      </c>
      <c r="D89" s="3" t="s">
        <v>186</v>
      </c>
      <c r="E89" s="3" t="s">
        <v>187</v>
      </c>
      <c r="F89" s="3" t="s">
        <v>13</v>
      </c>
      <c r="G89" s="3" t="s">
        <v>12</v>
      </c>
      <c r="H89" s="3" t="s">
        <v>12</v>
      </c>
      <c r="I89" s="3" t="s">
        <v>13</v>
      </c>
      <c r="L89" s="4"/>
    </row>
    <row r="90" spans="2:12" x14ac:dyDescent="0.25">
      <c r="B90" s="3" t="s">
        <v>17</v>
      </c>
      <c r="C90" s="3" t="s">
        <v>10</v>
      </c>
      <c r="D90" s="3" t="s">
        <v>188</v>
      </c>
      <c r="E90" s="3" t="s">
        <v>189</v>
      </c>
      <c r="F90" s="3" t="s">
        <v>13</v>
      </c>
      <c r="G90" s="3" t="s">
        <v>12</v>
      </c>
      <c r="H90" s="3" t="s">
        <v>12</v>
      </c>
      <c r="I90" s="3" t="s">
        <v>13</v>
      </c>
      <c r="L90" s="4"/>
    </row>
    <row r="91" spans="2:12" x14ac:dyDescent="0.25">
      <c r="B91" s="3" t="s">
        <v>17</v>
      </c>
      <c r="C91" s="3" t="s">
        <v>10</v>
      </c>
      <c r="D91" s="3" t="s">
        <v>190</v>
      </c>
      <c r="E91" s="3" t="s">
        <v>191</v>
      </c>
      <c r="F91" s="3" t="s">
        <v>13</v>
      </c>
      <c r="G91" s="3" t="s">
        <v>12</v>
      </c>
      <c r="H91" s="3" t="s">
        <v>12</v>
      </c>
      <c r="I91" s="3" t="s">
        <v>13</v>
      </c>
      <c r="L91" s="4"/>
    </row>
    <row r="92" spans="2:12" x14ac:dyDescent="0.25">
      <c r="B92" s="3" t="s">
        <v>17</v>
      </c>
      <c r="C92" s="3" t="s">
        <v>10</v>
      </c>
      <c r="D92" s="3" t="s">
        <v>192</v>
      </c>
      <c r="E92" s="3" t="s">
        <v>193</v>
      </c>
      <c r="F92" s="3" t="s">
        <v>13</v>
      </c>
      <c r="G92" s="3" t="s">
        <v>12</v>
      </c>
      <c r="H92" s="3" t="s">
        <v>12</v>
      </c>
      <c r="I92" s="3" t="s">
        <v>13</v>
      </c>
      <c r="L92" s="4"/>
    </row>
    <row r="93" spans="2:12" x14ac:dyDescent="0.25">
      <c r="B93" s="3" t="s">
        <v>17</v>
      </c>
      <c r="C93" s="3" t="s">
        <v>10</v>
      </c>
      <c r="D93" s="3" t="s">
        <v>194</v>
      </c>
      <c r="E93" s="3" t="s">
        <v>195</v>
      </c>
      <c r="F93" s="3" t="s">
        <v>13</v>
      </c>
      <c r="G93" s="3" t="s">
        <v>12</v>
      </c>
      <c r="H93" s="3" t="s">
        <v>12</v>
      </c>
      <c r="I93" s="3" t="s">
        <v>13</v>
      </c>
      <c r="L93" s="4"/>
    </row>
    <row r="94" spans="2:12" x14ac:dyDescent="0.25">
      <c r="B94" s="3" t="s">
        <v>17</v>
      </c>
      <c r="C94" s="3" t="s">
        <v>10</v>
      </c>
      <c r="D94" s="3" t="s">
        <v>196</v>
      </c>
      <c r="E94" s="3" t="s">
        <v>197</v>
      </c>
      <c r="F94" s="3" t="s">
        <v>13</v>
      </c>
      <c r="G94" s="3" t="s">
        <v>12</v>
      </c>
      <c r="H94" s="3" t="s">
        <v>12</v>
      </c>
      <c r="I94" s="3" t="s">
        <v>13</v>
      </c>
      <c r="L94" s="4"/>
    </row>
    <row r="95" spans="2:12" x14ac:dyDescent="0.25">
      <c r="B95" s="3" t="s">
        <v>17</v>
      </c>
      <c r="C95" s="3" t="s">
        <v>10</v>
      </c>
      <c r="D95" s="3" t="s">
        <v>198</v>
      </c>
      <c r="E95" s="3" t="s">
        <v>199</v>
      </c>
      <c r="F95" s="3" t="s">
        <v>13</v>
      </c>
      <c r="G95" s="3" t="s">
        <v>12</v>
      </c>
      <c r="H95" s="3" t="s">
        <v>12</v>
      </c>
      <c r="I95" s="3" t="s">
        <v>13</v>
      </c>
      <c r="L95" s="4"/>
    </row>
    <row r="96" spans="2:12" x14ac:dyDescent="0.25">
      <c r="B96" s="3" t="s">
        <v>17</v>
      </c>
      <c r="C96" s="3" t="s">
        <v>10</v>
      </c>
      <c r="D96" s="3" t="s">
        <v>200</v>
      </c>
      <c r="E96" s="3" t="s">
        <v>201</v>
      </c>
      <c r="F96" s="3" t="s">
        <v>13</v>
      </c>
      <c r="G96" s="3" t="s">
        <v>12</v>
      </c>
      <c r="H96" s="3" t="s">
        <v>12</v>
      </c>
      <c r="I96" s="3" t="s">
        <v>13</v>
      </c>
      <c r="L96" s="4"/>
    </row>
    <row r="97" spans="2:12" x14ac:dyDescent="0.25">
      <c r="B97" s="3" t="s">
        <v>17</v>
      </c>
      <c r="C97" s="3" t="s">
        <v>10</v>
      </c>
      <c r="D97" s="3" t="s">
        <v>202</v>
      </c>
      <c r="E97" s="3" t="s">
        <v>203</v>
      </c>
      <c r="F97" s="3" t="s">
        <v>13</v>
      </c>
      <c r="G97" s="3" t="s">
        <v>12</v>
      </c>
      <c r="H97" s="3" t="s">
        <v>12</v>
      </c>
      <c r="I97" s="3" t="s">
        <v>13</v>
      </c>
      <c r="L97" s="4"/>
    </row>
    <row r="98" spans="2:12" x14ac:dyDescent="0.25">
      <c r="B98" s="3" t="s">
        <v>17</v>
      </c>
      <c r="C98" s="3" t="s">
        <v>10</v>
      </c>
      <c r="D98" s="3" t="s">
        <v>204</v>
      </c>
      <c r="E98" s="3" t="s">
        <v>205</v>
      </c>
      <c r="F98" s="3" t="s">
        <v>13</v>
      </c>
      <c r="G98" s="3" t="s">
        <v>12</v>
      </c>
      <c r="H98" s="3" t="s">
        <v>12</v>
      </c>
      <c r="I98" s="3" t="s">
        <v>13</v>
      </c>
      <c r="L98" s="4"/>
    </row>
    <row r="99" spans="2:12" x14ac:dyDescent="0.25">
      <c r="B99" s="3" t="s">
        <v>17</v>
      </c>
      <c r="C99" s="3" t="s">
        <v>10</v>
      </c>
      <c r="D99" s="3" t="s">
        <v>206</v>
      </c>
      <c r="E99" s="3" t="s">
        <v>207</v>
      </c>
      <c r="F99" s="3" t="s">
        <v>13</v>
      </c>
      <c r="G99" s="3" t="s">
        <v>12</v>
      </c>
      <c r="H99" s="3" t="s">
        <v>12</v>
      </c>
      <c r="I99" s="3" t="s">
        <v>13</v>
      </c>
      <c r="L99" s="4"/>
    </row>
    <row r="100" spans="2:12" x14ac:dyDescent="0.25">
      <c r="B100" t="s">
        <v>14</v>
      </c>
      <c r="C100" t="s">
        <v>10</v>
      </c>
      <c r="D100" t="s">
        <v>208</v>
      </c>
      <c r="E100" t="s">
        <v>209</v>
      </c>
      <c r="F100" t="s">
        <v>12</v>
      </c>
      <c r="G100" t="s">
        <v>13</v>
      </c>
      <c r="H100" t="s">
        <v>13</v>
      </c>
      <c r="I100" t="s">
        <v>13</v>
      </c>
      <c r="L100" t="s">
        <v>124</v>
      </c>
    </row>
    <row r="101" spans="2:12" x14ac:dyDescent="0.25">
      <c r="B101" t="s">
        <v>17</v>
      </c>
      <c r="C101" t="s">
        <v>10</v>
      </c>
      <c r="D101" t="s">
        <v>210</v>
      </c>
      <c r="E101" t="s">
        <v>211</v>
      </c>
      <c r="F101" t="s">
        <v>13</v>
      </c>
      <c r="G101" t="s">
        <v>12</v>
      </c>
      <c r="H101" t="s">
        <v>13</v>
      </c>
      <c r="I101" t="s">
        <v>13</v>
      </c>
      <c r="L101" s="4"/>
    </row>
    <row r="102" spans="2:12" x14ac:dyDescent="0.25">
      <c r="B102" t="s">
        <v>17</v>
      </c>
      <c r="C102" t="s">
        <v>10</v>
      </c>
      <c r="D102" t="s">
        <v>212</v>
      </c>
      <c r="E102" t="s">
        <v>213</v>
      </c>
      <c r="F102" t="s">
        <v>13</v>
      </c>
      <c r="G102" t="s">
        <v>12</v>
      </c>
      <c r="H102" t="s">
        <v>13</v>
      </c>
      <c r="I102" t="s">
        <v>13</v>
      </c>
      <c r="L102" s="4"/>
    </row>
    <row r="103" spans="2:12" x14ac:dyDescent="0.25">
      <c r="B103" t="s">
        <v>17</v>
      </c>
      <c r="C103" t="s">
        <v>10</v>
      </c>
      <c r="D103" t="s">
        <v>214</v>
      </c>
      <c r="E103" t="s">
        <v>215</v>
      </c>
      <c r="F103" t="s">
        <v>13</v>
      </c>
      <c r="G103" t="s">
        <v>12</v>
      </c>
      <c r="H103" t="s">
        <v>13</v>
      </c>
      <c r="I103" t="s">
        <v>13</v>
      </c>
      <c r="L103" s="4"/>
    </row>
    <row r="104" spans="2:12" x14ac:dyDescent="0.25">
      <c r="B104" t="s">
        <v>17</v>
      </c>
      <c r="C104" t="s">
        <v>10</v>
      </c>
      <c r="D104" t="s">
        <v>216</v>
      </c>
      <c r="E104" t="s">
        <v>217</v>
      </c>
      <c r="F104" t="s">
        <v>13</v>
      </c>
      <c r="G104" t="s">
        <v>12</v>
      </c>
      <c r="H104" t="s">
        <v>13</v>
      </c>
      <c r="I104" t="s">
        <v>13</v>
      </c>
      <c r="L104" s="4"/>
    </row>
    <row r="105" spans="2:12" x14ac:dyDescent="0.25">
      <c r="B105" t="s">
        <v>17</v>
      </c>
      <c r="C105" t="s">
        <v>10</v>
      </c>
      <c r="D105" t="s">
        <v>218</v>
      </c>
      <c r="E105" t="s">
        <v>219</v>
      </c>
      <c r="F105" t="s">
        <v>13</v>
      </c>
      <c r="G105" t="s">
        <v>12</v>
      </c>
      <c r="H105" t="s">
        <v>13</v>
      </c>
      <c r="I105" t="s">
        <v>13</v>
      </c>
      <c r="L105" s="4"/>
    </row>
    <row r="106" spans="2:12" x14ac:dyDescent="0.25">
      <c r="B106" t="s">
        <v>17</v>
      </c>
      <c r="C106" t="s">
        <v>10</v>
      </c>
      <c r="D106" t="s">
        <v>220</v>
      </c>
      <c r="E106" t="s">
        <v>221</v>
      </c>
      <c r="F106" t="s">
        <v>13</v>
      </c>
      <c r="G106" t="s">
        <v>12</v>
      </c>
      <c r="H106" t="s">
        <v>13</v>
      </c>
      <c r="I106" t="s">
        <v>13</v>
      </c>
      <c r="L106" s="4"/>
    </row>
    <row r="107" spans="2:12" x14ac:dyDescent="0.25">
      <c r="B107" t="s">
        <v>17</v>
      </c>
      <c r="C107" t="s">
        <v>10</v>
      </c>
      <c r="D107" t="s">
        <v>222</v>
      </c>
      <c r="E107" t="s">
        <v>223</v>
      </c>
      <c r="F107" t="s">
        <v>13</v>
      </c>
      <c r="G107" t="s">
        <v>12</v>
      </c>
      <c r="H107" t="s">
        <v>13</v>
      </c>
      <c r="I107" t="s">
        <v>13</v>
      </c>
      <c r="L107" s="4"/>
    </row>
    <row r="108" spans="2:12" x14ac:dyDescent="0.25">
      <c r="B108" t="s">
        <v>17</v>
      </c>
      <c r="C108" t="s">
        <v>10</v>
      </c>
      <c r="D108" t="s">
        <v>224</v>
      </c>
      <c r="E108" t="s">
        <v>225</v>
      </c>
      <c r="F108" t="s">
        <v>13</v>
      </c>
      <c r="G108" t="s">
        <v>12</v>
      </c>
      <c r="H108" t="s">
        <v>13</v>
      </c>
      <c r="I108" t="s">
        <v>13</v>
      </c>
      <c r="L108" s="4"/>
    </row>
    <row r="109" spans="2:12" x14ac:dyDescent="0.25">
      <c r="B109" t="s">
        <v>17</v>
      </c>
      <c r="C109" t="s">
        <v>10</v>
      </c>
      <c r="D109" t="s">
        <v>226</v>
      </c>
      <c r="E109" t="s">
        <v>227</v>
      </c>
      <c r="F109" t="s">
        <v>13</v>
      </c>
      <c r="G109" t="s">
        <v>12</v>
      </c>
      <c r="H109" t="s">
        <v>13</v>
      </c>
      <c r="I109" t="s">
        <v>13</v>
      </c>
      <c r="L109" s="4"/>
    </row>
    <row r="110" spans="2:12" x14ac:dyDescent="0.25">
      <c r="B110" t="s">
        <v>17</v>
      </c>
      <c r="C110" t="s">
        <v>10</v>
      </c>
      <c r="D110" t="s">
        <v>228</v>
      </c>
      <c r="E110" t="s">
        <v>229</v>
      </c>
      <c r="F110" t="s">
        <v>13</v>
      </c>
      <c r="G110" t="s">
        <v>12</v>
      </c>
      <c r="H110" t="s">
        <v>13</v>
      </c>
      <c r="I110" t="s">
        <v>13</v>
      </c>
      <c r="L110" s="4"/>
    </row>
    <row r="111" spans="2:12" x14ac:dyDescent="0.25">
      <c r="B111" t="s">
        <v>17</v>
      </c>
      <c r="C111" t="s">
        <v>10</v>
      </c>
      <c r="D111" t="s">
        <v>230</v>
      </c>
      <c r="E111" t="s">
        <v>231</v>
      </c>
      <c r="F111" t="s">
        <v>13</v>
      </c>
      <c r="G111" t="s">
        <v>12</v>
      </c>
      <c r="H111" t="s">
        <v>13</v>
      </c>
      <c r="I111" t="s">
        <v>13</v>
      </c>
      <c r="L111" s="4"/>
    </row>
    <row r="112" spans="2:12" x14ac:dyDescent="0.25">
      <c r="B112" t="s">
        <v>17</v>
      </c>
      <c r="C112" t="s">
        <v>10</v>
      </c>
      <c r="D112" t="s">
        <v>232</v>
      </c>
      <c r="E112" t="s">
        <v>233</v>
      </c>
      <c r="F112" t="s">
        <v>13</v>
      </c>
      <c r="G112" t="s">
        <v>12</v>
      </c>
      <c r="H112" t="s">
        <v>13</v>
      </c>
      <c r="I112" t="s">
        <v>13</v>
      </c>
      <c r="L112" s="4"/>
    </row>
    <row r="113" spans="2:12" x14ac:dyDescent="0.25">
      <c r="B113" t="s">
        <v>17</v>
      </c>
      <c r="C113" t="s">
        <v>10</v>
      </c>
      <c r="D113" t="s">
        <v>234</v>
      </c>
      <c r="E113" t="s">
        <v>235</v>
      </c>
      <c r="F113" t="s">
        <v>13</v>
      </c>
      <c r="G113" t="s">
        <v>12</v>
      </c>
      <c r="H113" t="s">
        <v>13</v>
      </c>
      <c r="I113" t="s">
        <v>13</v>
      </c>
      <c r="L113" s="4"/>
    </row>
    <row r="114" spans="2:12" x14ac:dyDescent="0.25">
      <c r="B114" t="s">
        <v>17</v>
      </c>
      <c r="C114" t="s">
        <v>10</v>
      </c>
      <c r="D114" t="s">
        <v>236</v>
      </c>
      <c r="E114" t="s">
        <v>237</v>
      </c>
      <c r="F114" t="s">
        <v>13</v>
      </c>
      <c r="G114" t="s">
        <v>12</v>
      </c>
      <c r="H114" t="s">
        <v>13</v>
      </c>
      <c r="I114" t="s">
        <v>13</v>
      </c>
      <c r="L114" s="4"/>
    </row>
    <row r="115" spans="2:12" x14ac:dyDescent="0.25">
      <c r="B115" t="s">
        <v>17</v>
      </c>
      <c r="C115" t="s">
        <v>10</v>
      </c>
      <c r="D115" t="s">
        <v>238</v>
      </c>
      <c r="E115" t="s">
        <v>239</v>
      </c>
      <c r="F115" t="s">
        <v>13</v>
      </c>
      <c r="G115" t="s">
        <v>12</v>
      </c>
      <c r="H115" t="s">
        <v>13</v>
      </c>
      <c r="I115" t="s">
        <v>13</v>
      </c>
      <c r="L115" s="4"/>
    </row>
    <row r="116" spans="2:12" x14ac:dyDescent="0.25">
      <c r="B116" t="s">
        <v>17</v>
      </c>
      <c r="C116" t="s">
        <v>10</v>
      </c>
      <c r="D116" t="s">
        <v>240</v>
      </c>
      <c r="E116" t="s">
        <v>241</v>
      </c>
      <c r="F116" t="s">
        <v>13</v>
      </c>
      <c r="G116" t="s">
        <v>12</v>
      </c>
      <c r="H116" t="s">
        <v>13</v>
      </c>
      <c r="I116" t="s">
        <v>13</v>
      </c>
      <c r="L116" s="4"/>
    </row>
    <row r="117" spans="2:12" x14ac:dyDescent="0.25">
      <c r="B117" t="s">
        <v>17</v>
      </c>
      <c r="C117" t="s">
        <v>10</v>
      </c>
      <c r="D117" t="s">
        <v>242</v>
      </c>
      <c r="E117" t="s">
        <v>243</v>
      </c>
      <c r="F117" t="s">
        <v>13</v>
      </c>
      <c r="G117" t="s">
        <v>12</v>
      </c>
      <c r="H117" t="s">
        <v>13</v>
      </c>
      <c r="I117" t="s">
        <v>13</v>
      </c>
      <c r="L117" s="4"/>
    </row>
    <row r="118" spans="2:12" x14ac:dyDescent="0.25">
      <c r="B118" t="s">
        <v>17</v>
      </c>
      <c r="C118" t="s">
        <v>10</v>
      </c>
      <c r="D118" t="s">
        <v>244</v>
      </c>
      <c r="E118" t="s">
        <v>245</v>
      </c>
      <c r="F118" t="s">
        <v>13</v>
      </c>
      <c r="G118" t="s">
        <v>12</v>
      </c>
      <c r="H118" t="s">
        <v>13</v>
      </c>
      <c r="I118" t="s">
        <v>13</v>
      </c>
      <c r="L118" s="4"/>
    </row>
    <row r="119" spans="2:12" x14ac:dyDescent="0.25">
      <c r="B119" t="s">
        <v>17</v>
      </c>
      <c r="C119" t="s">
        <v>10</v>
      </c>
      <c r="D119" t="s">
        <v>246</v>
      </c>
      <c r="E119" t="s">
        <v>247</v>
      </c>
      <c r="F119" t="s">
        <v>13</v>
      </c>
      <c r="G119" t="s">
        <v>12</v>
      </c>
      <c r="H119" t="s">
        <v>13</v>
      </c>
      <c r="I119" t="s">
        <v>13</v>
      </c>
      <c r="L119" s="4"/>
    </row>
    <row r="120" spans="2:12" x14ac:dyDescent="0.25">
      <c r="B120" t="s">
        <v>17</v>
      </c>
      <c r="C120" t="s">
        <v>10</v>
      </c>
      <c r="D120" t="s">
        <v>248</v>
      </c>
      <c r="E120" t="s">
        <v>249</v>
      </c>
      <c r="F120" t="s">
        <v>13</v>
      </c>
      <c r="G120" t="s">
        <v>12</v>
      </c>
      <c r="H120" t="s">
        <v>13</v>
      </c>
      <c r="I120" t="s">
        <v>13</v>
      </c>
      <c r="L120" s="4"/>
    </row>
    <row r="121" spans="2:12" x14ac:dyDescent="0.25">
      <c r="B121" s="3" t="s">
        <v>14</v>
      </c>
      <c r="C121" s="3" t="s">
        <v>10</v>
      </c>
      <c r="D121" s="3" t="s">
        <v>250</v>
      </c>
      <c r="E121" s="3" t="s">
        <v>251</v>
      </c>
      <c r="F121" s="3" t="s">
        <v>13</v>
      </c>
      <c r="G121" s="3" t="s">
        <v>12</v>
      </c>
      <c r="H121" s="3" t="s">
        <v>12</v>
      </c>
      <c r="I121" s="3" t="s">
        <v>13</v>
      </c>
    </row>
  </sheetData>
  <autoFilter ref="B2:I121" xr:uid="{00000000-0001-0000-0000-000000000000}"/>
  <conditionalFormatting sqref="O1:O1048576">
    <cfRule type="cellIs" dxfId="1" priority="1" operator="greaterThan">
      <formula>40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9"/>
  <sheetViews>
    <sheetView topLeftCell="F1" workbookViewId="0">
      <selection activeCell="M16" sqref="M16"/>
    </sheetView>
  </sheetViews>
  <sheetFormatPr defaultRowHeight="12.5" x14ac:dyDescent="0.25"/>
  <cols>
    <col min="1" max="1" width="7" bestFit="1" customWidth="1"/>
    <col min="2" max="2" width="9" bestFit="1" customWidth="1"/>
    <col min="3" max="3" width="15" bestFit="1" customWidth="1"/>
    <col min="4" max="4" width="42" bestFit="1" customWidth="1"/>
    <col min="5" max="5" width="11" bestFit="1" customWidth="1"/>
    <col min="6" max="6" width="12" bestFit="1" customWidth="1"/>
    <col min="7" max="8" width="10" bestFit="1" customWidth="1"/>
    <col min="10" max="10" width="7" bestFit="1" customWidth="1"/>
    <col min="11" max="11" width="9" bestFit="1" customWidth="1"/>
    <col min="12" max="12" width="15" bestFit="1" customWidth="1"/>
    <col min="13" max="13" width="42" bestFit="1" customWidth="1"/>
    <col min="14" max="14" width="11" bestFit="1" customWidth="1"/>
    <col min="15" max="15" width="12" bestFit="1" customWidth="1"/>
    <col min="16" max="17" width="10" bestFit="1" customWidth="1"/>
    <col min="20" max="20" width="25.1796875" bestFit="1" customWidth="1"/>
    <col min="21" max="21" width="18.1796875" bestFit="1" customWidth="1"/>
    <col min="22" max="22" width="44.453125" bestFit="1" customWidth="1"/>
  </cols>
  <sheetData>
    <row r="1" spans="1:23" ht="13" x14ac:dyDescent="0.25">
      <c r="M1" s="5" t="s">
        <v>0</v>
      </c>
    </row>
    <row r="2" spans="1:23" ht="25" x14ac:dyDescent="0.25">
      <c r="A2" s="1" t="s">
        <v>1</v>
      </c>
      <c r="B2" s="2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1" t="s">
        <v>1</v>
      </c>
      <c r="K2" s="2" t="s">
        <v>2</v>
      </c>
      <c r="L2" s="1" t="s">
        <v>3</v>
      </c>
      <c r="M2" s="1" t="s">
        <v>4</v>
      </c>
      <c r="N2" s="2" t="s">
        <v>5</v>
      </c>
      <c r="O2" s="2" t="s">
        <v>6</v>
      </c>
      <c r="P2" s="2" t="s">
        <v>7</v>
      </c>
      <c r="Q2" s="2" t="s">
        <v>8</v>
      </c>
    </row>
    <row r="3" spans="1:23" x14ac:dyDescent="0.25">
      <c r="A3" t="s">
        <v>9</v>
      </c>
      <c r="B3" t="s">
        <v>10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13</v>
      </c>
      <c r="J3" t="s">
        <v>9</v>
      </c>
      <c r="K3" t="s">
        <v>10</v>
      </c>
      <c r="L3" t="s">
        <v>10</v>
      </c>
      <c r="M3" t="s">
        <v>11</v>
      </c>
      <c r="N3" t="s">
        <v>12</v>
      </c>
      <c r="O3" t="s">
        <v>13</v>
      </c>
      <c r="P3" t="s">
        <v>13</v>
      </c>
      <c r="Q3" t="s">
        <v>13</v>
      </c>
    </row>
    <row r="4" spans="1:23" x14ac:dyDescent="0.25">
      <c r="A4" t="s">
        <v>14</v>
      </c>
      <c r="B4" t="s">
        <v>10</v>
      </c>
      <c r="C4" t="s">
        <v>15</v>
      </c>
      <c r="D4" t="s">
        <v>16</v>
      </c>
      <c r="E4" t="s">
        <v>12</v>
      </c>
      <c r="F4" t="s">
        <v>13</v>
      </c>
      <c r="G4" t="s">
        <v>13</v>
      </c>
      <c r="H4" t="s">
        <v>13</v>
      </c>
      <c r="J4" t="s">
        <v>14</v>
      </c>
      <c r="K4" t="s">
        <v>10</v>
      </c>
      <c r="L4" t="s">
        <v>15</v>
      </c>
      <c r="M4" t="s">
        <v>16</v>
      </c>
      <c r="N4" t="s">
        <v>12</v>
      </c>
      <c r="O4" t="s">
        <v>13</v>
      </c>
      <c r="P4" t="s">
        <v>13</v>
      </c>
      <c r="Q4" t="s">
        <v>13</v>
      </c>
    </row>
    <row r="5" spans="1:23" x14ac:dyDescent="0.25">
      <c r="A5" s="3" t="s">
        <v>17</v>
      </c>
      <c r="B5" s="3" t="s">
        <v>10</v>
      </c>
      <c r="C5" s="3" t="s">
        <v>18</v>
      </c>
      <c r="D5" s="3" t="s">
        <v>19</v>
      </c>
      <c r="E5" s="3" t="s">
        <v>13</v>
      </c>
      <c r="F5" s="3" t="s">
        <v>12</v>
      </c>
      <c r="G5" s="3" t="s">
        <v>12</v>
      </c>
      <c r="H5" s="3" t="s">
        <v>13</v>
      </c>
      <c r="J5" s="3" t="s">
        <v>17</v>
      </c>
      <c r="K5" s="3" t="s">
        <v>10</v>
      </c>
      <c r="L5" s="3" t="s">
        <v>18</v>
      </c>
      <c r="M5" s="3" t="s">
        <v>19</v>
      </c>
      <c r="N5" s="3" t="s">
        <v>13</v>
      </c>
      <c r="O5" s="3" t="s">
        <v>12</v>
      </c>
      <c r="P5" s="3" t="s">
        <v>12</v>
      </c>
      <c r="Q5" s="3" t="s">
        <v>13</v>
      </c>
    </row>
    <row r="6" spans="1:23" x14ac:dyDescent="0.25">
      <c r="A6" t="s">
        <v>14</v>
      </c>
      <c r="B6" t="s">
        <v>10</v>
      </c>
      <c r="C6" t="s">
        <v>21</v>
      </c>
      <c r="D6" t="s">
        <v>22</v>
      </c>
      <c r="E6" t="s">
        <v>12</v>
      </c>
      <c r="F6" t="s">
        <v>13</v>
      </c>
      <c r="G6" t="s">
        <v>13</v>
      </c>
      <c r="H6" t="s">
        <v>13</v>
      </c>
      <c r="J6" t="s">
        <v>14</v>
      </c>
      <c r="K6" t="s">
        <v>10</v>
      </c>
      <c r="L6" t="s">
        <v>21</v>
      </c>
      <c r="M6" t="s">
        <v>22</v>
      </c>
      <c r="N6" t="s">
        <v>12</v>
      </c>
      <c r="O6" t="s">
        <v>13</v>
      </c>
      <c r="P6" t="s">
        <v>13</v>
      </c>
      <c r="Q6" t="s">
        <v>13</v>
      </c>
    </row>
    <row r="7" spans="1:23" x14ac:dyDescent="0.25">
      <c r="A7" s="3" t="s">
        <v>17</v>
      </c>
      <c r="B7" s="3" t="s">
        <v>10</v>
      </c>
      <c r="C7" s="3" t="s">
        <v>23</v>
      </c>
      <c r="D7" s="3" t="s">
        <v>22</v>
      </c>
      <c r="E7" s="3" t="s">
        <v>13</v>
      </c>
      <c r="F7" s="3" t="s">
        <v>12</v>
      </c>
      <c r="G7" s="3" t="s">
        <v>12</v>
      </c>
      <c r="H7" s="3" t="s">
        <v>13</v>
      </c>
      <c r="J7" s="3" t="s">
        <v>17</v>
      </c>
      <c r="K7" s="3" t="s">
        <v>10</v>
      </c>
      <c r="L7" s="3" t="s">
        <v>23</v>
      </c>
      <c r="M7" s="3" t="s">
        <v>22</v>
      </c>
      <c r="N7" s="3" t="s">
        <v>13</v>
      </c>
      <c r="O7" s="3" t="s">
        <v>12</v>
      </c>
      <c r="P7" s="3" t="s">
        <v>12</v>
      </c>
      <c r="Q7" s="3" t="s">
        <v>13</v>
      </c>
    </row>
    <row r="8" spans="1:23" x14ac:dyDescent="0.25">
      <c r="A8" t="s">
        <v>14</v>
      </c>
      <c r="B8" t="s">
        <v>10</v>
      </c>
      <c r="C8" t="s">
        <v>25</v>
      </c>
      <c r="D8" t="s">
        <v>26</v>
      </c>
      <c r="E8" t="s">
        <v>12</v>
      </c>
      <c r="F8" t="s">
        <v>13</v>
      </c>
      <c r="G8" t="s">
        <v>13</v>
      </c>
      <c r="H8" t="s">
        <v>13</v>
      </c>
      <c r="J8" t="s">
        <v>14</v>
      </c>
      <c r="K8" t="s">
        <v>10</v>
      </c>
      <c r="L8" t="s">
        <v>25</v>
      </c>
      <c r="M8" t="s">
        <v>26</v>
      </c>
      <c r="N8" t="s">
        <v>12</v>
      </c>
      <c r="O8" t="s">
        <v>13</v>
      </c>
      <c r="P8" t="s">
        <v>13</v>
      </c>
      <c r="Q8" t="s">
        <v>13</v>
      </c>
    </row>
    <row r="9" spans="1:23" x14ac:dyDescent="0.25">
      <c r="A9" s="3" t="s">
        <v>17</v>
      </c>
      <c r="B9" s="3" t="s">
        <v>10</v>
      </c>
      <c r="C9" s="3" t="s">
        <v>27</v>
      </c>
      <c r="D9" s="3" t="s">
        <v>26</v>
      </c>
      <c r="E9" s="3" t="s">
        <v>13</v>
      </c>
      <c r="F9" s="3" t="s">
        <v>12</v>
      </c>
      <c r="G9" s="3" t="s">
        <v>12</v>
      </c>
      <c r="H9" s="3" t="s">
        <v>13</v>
      </c>
      <c r="J9" s="3" t="s">
        <v>17</v>
      </c>
      <c r="K9" s="3" t="s">
        <v>10</v>
      </c>
      <c r="L9" s="3" t="s">
        <v>27</v>
      </c>
      <c r="M9" s="3" t="s">
        <v>26</v>
      </c>
      <c r="N9" s="3" t="s">
        <v>13</v>
      </c>
      <c r="O9" s="3" t="s">
        <v>12</v>
      </c>
      <c r="P9" s="3" t="s">
        <v>12</v>
      </c>
      <c r="Q9" s="3" t="s">
        <v>13</v>
      </c>
    </row>
    <row r="10" spans="1:23" x14ac:dyDescent="0.25">
      <c r="A10" t="s">
        <v>14</v>
      </c>
      <c r="B10" t="s">
        <v>10</v>
      </c>
      <c r="C10" t="s">
        <v>29</v>
      </c>
      <c r="D10" t="s">
        <v>30</v>
      </c>
      <c r="E10" t="s">
        <v>12</v>
      </c>
      <c r="F10" t="s">
        <v>13</v>
      </c>
      <c r="G10" t="s">
        <v>13</v>
      </c>
      <c r="H10" t="s">
        <v>13</v>
      </c>
      <c r="J10" t="s">
        <v>14</v>
      </c>
      <c r="K10" t="s">
        <v>10</v>
      </c>
      <c r="L10" t="s">
        <v>29</v>
      </c>
      <c r="M10" t="s">
        <v>30</v>
      </c>
      <c r="N10" t="s">
        <v>12</v>
      </c>
      <c r="O10" t="s">
        <v>13</v>
      </c>
      <c r="P10" t="s">
        <v>13</v>
      </c>
      <c r="Q10" t="s">
        <v>13</v>
      </c>
    </row>
    <row r="11" spans="1:23" x14ac:dyDescent="0.25">
      <c r="A11" t="s">
        <v>17</v>
      </c>
      <c r="B11" t="s">
        <v>10</v>
      </c>
      <c r="C11" t="s">
        <v>31</v>
      </c>
      <c r="D11" t="s">
        <v>32</v>
      </c>
      <c r="E11" t="s">
        <v>13</v>
      </c>
      <c r="F11" t="s">
        <v>12</v>
      </c>
      <c r="G11" t="s">
        <v>13</v>
      </c>
      <c r="H11" t="s">
        <v>13</v>
      </c>
      <c r="J11" t="s">
        <v>17</v>
      </c>
      <c r="K11" t="s">
        <v>10</v>
      </c>
      <c r="L11" t="s">
        <v>31</v>
      </c>
      <c r="M11" t="s">
        <v>32</v>
      </c>
      <c r="N11" t="s">
        <v>13</v>
      </c>
      <c r="O11" t="s">
        <v>12</v>
      </c>
      <c r="P11" t="s">
        <v>13</v>
      </c>
      <c r="Q11" t="s">
        <v>13</v>
      </c>
    </row>
    <row r="12" spans="1:23" x14ac:dyDescent="0.25">
      <c r="A12" t="s">
        <v>14</v>
      </c>
      <c r="B12" t="s">
        <v>10</v>
      </c>
      <c r="C12" t="s">
        <v>33</v>
      </c>
      <c r="D12" t="s">
        <v>34</v>
      </c>
      <c r="E12" t="s">
        <v>12</v>
      </c>
      <c r="F12" t="s">
        <v>13</v>
      </c>
      <c r="G12" t="s">
        <v>13</v>
      </c>
      <c r="H12" t="s">
        <v>13</v>
      </c>
      <c r="J12" t="s">
        <v>14</v>
      </c>
      <c r="K12" t="s">
        <v>10</v>
      </c>
      <c r="L12" t="s">
        <v>33</v>
      </c>
      <c r="M12" t="s">
        <v>34</v>
      </c>
      <c r="N12" t="s">
        <v>12</v>
      </c>
      <c r="O12" t="s">
        <v>13</v>
      </c>
      <c r="P12" t="s">
        <v>13</v>
      </c>
      <c r="Q12" t="s">
        <v>13</v>
      </c>
    </row>
    <row r="13" spans="1:23" x14ac:dyDescent="0.25">
      <c r="A13" t="s">
        <v>17</v>
      </c>
      <c r="B13" t="s">
        <v>10</v>
      </c>
      <c r="C13" t="s">
        <v>35</v>
      </c>
      <c r="D13" t="s">
        <v>34</v>
      </c>
      <c r="E13" t="s">
        <v>13</v>
      </c>
      <c r="F13" t="s">
        <v>12</v>
      </c>
      <c r="G13" t="s">
        <v>13</v>
      </c>
      <c r="H13" t="s">
        <v>12</v>
      </c>
      <c r="J13" t="s">
        <v>17</v>
      </c>
      <c r="K13" t="s">
        <v>10</v>
      </c>
      <c r="L13" t="s">
        <v>35</v>
      </c>
      <c r="M13" t="s">
        <v>34</v>
      </c>
      <c r="N13" t="s">
        <v>13</v>
      </c>
      <c r="O13" t="s">
        <v>12</v>
      </c>
      <c r="P13" t="s">
        <v>13</v>
      </c>
      <c r="Q13" t="s">
        <v>12</v>
      </c>
    </row>
    <row r="14" spans="1:23" x14ac:dyDescent="0.25">
      <c r="A14" t="s">
        <v>14</v>
      </c>
      <c r="B14" t="s">
        <v>10</v>
      </c>
      <c r="C14" t="s">
        <v>36</v>
      </c>
      <c r="D14" t="s">
        <v>37</v>
      </c>
      <c r="E14" t="s">
        <v>12</v>
      </c>
      <c r="F14" t="s">
        <v>13</v>
      </c>
      <c r="G14" t="s">
        <v>13</v>
      </c>
      <c r="H14" t="s">
        <v>13</v>
      </c>
      <c r="J14" t="s">
        <v>14</v>
      </c>
      <c r="K14" t="s">
        <v>10</v>
      </c>
      <c r="L14" t="s">
        <v>36</v>
      </c>
      <c r="M14" t="s">
        <v>37</v>
      </c>
      <c r="N14" t="s">
        <v>12</v>
      </c>
      <c r="O14" t="s">
        <v>13</v>
      </c>
      <c r="P14" t="s">
        <v>13</v>
      </c>
      <c r="Q14" t="s">
        <v>13</v>
      </c>
    </row>
    <row r="15" spans="1:23" x14ac:dyDescent="0.25">
      <c r="A15" s="3" t="s">
        <v>17</v>
      </c>
      <c r="B15" s="3" t="s">
        <v>10</v>
      </c>
      <c r="C15" s="3" t="s">
        <v>39</v>
      </c>
      <c r="D15" s="3" t="s">
        <v>252</v>
      </c>
      <c r="E15" s="3" t="s">
        <v>13</v>
      </c>
      <c r="F15" s="3" t="s">
        <v>12</v>
      </c>
      <c r="G15" s="3" t="s">
        <v>12</v>
      </c>
      <c r="H15" s="3" t="s">
        <v>13</v>
      </c>
      <c r="J15" s="3" t="s">
        <v>17</v>
      </c>
      <c r="K15" s="3" t="s">
        <v>10</v>
      </c>
      <c r="L15" s="3" t="s">
        <v>39</v>
      </c>
      <c r="M15" s="3" t="s">
        <v>40</v>
      </c>
      <c r="N15" s="3" t="s">
        <v>13</v>
      </c>
      <c r="O15" s="3" t="s">
        <v>12</v>
      </c>
      <c r="P15" s="3" t="s">
        <v>12</v>
      </c>
      <c r="Q15" s="3" t="s">
        <v>13</v>
      </c>
      <c r="T15" s="4" t="s">
        <v>253</v>
      </c>
      <c r="U15" t="s">
        <v>254</v>
      </c>
      <c r="V15" t="str">
        <f>CONCATENATE(U15," -",T15)</f>
        <v>SW Eng - Non CAPEX Features</v>
      </c>
      <c r="W15">
        <f>LEN(V15)</f>
        <v>27</v>
      </c>
    </row>
    <row r="16" spans="1:23" x14ac:dyDescent="0.25">
      <c r="A16" s="3" t="s">
        <v>17</v>
      </c>
      <c r="B16" s="3" t="s">
        <v>10</v>
      </c>
      <c r="C16" s="3" t="s">
        <v>42</v>
      </c>
      <c r="D16" s="3" t="s">
        <v>255</v>
      </c>
      <c r="E16" s="3" t="s">
        <v>13</v>
      </c>
      <c r="F16" s="3" t="s">
        <v>12</v>
      </c>
      <c r="G16" s="3" t="s">
        <v>12</v>
      </c>
      <c r="H16" s="3" t="s">
        <v>13</v>
      </c>
      <c r="J16" s="3" t="s">
        <v>17</v>
      </c>
      <c r="K16" s="3" t="s">
        <v>10</v>
      </c>
      <c r="L16" s="3" t="s">
        <v>42</v>
      </c>
      <c r="M16" s="3" t="s">
        <v>43</v>
      </c>
      <c r="N16" s="3" t="s">
        <v>13</v>
      </c>
      <c r="O16" s="3" t="s">
        <v>12</v>
      </c>
      <c r="P16" s="3" t="s">
        <v>12</v>
      </c>
      <c r="Q16" s="3" t="s">
        <v>13</v>
      </c>
      <c r="T16" s="4" t="s">
        <v>256</v>
      </c>
      <c r="U16" t="s">
        <v>254</v>
      </c>
      <c r="V16" t="str">
        <f t="shared" ref="V16:V34" si="0">CONCATENATE(U16," -",T16)</f>
        <v>SW Eng - Compliance</v>
      </c>
      <c r="W16">
        <f t="shared" ref="W16:W34" si="1">LEN(V16)</f>
        <v>19</v>
      </c>
    </row>
    <row r="17" spans="1:23" x14ac:dyDescent="0.25">
      <c r="A17" s="3" t="s">
        <v>17</v>
      </c>
      <c r="B17" s="3" t="s">
        <v>10</v>
      </c>
      <c r="C17" s="3" t="s">
        <v>44</v>
      </c>
      <c r="D17" s="3" t="s">
        <v>257</v>
      </c>
      <c r="E17" s="3" t="s">
        <v>13</v>
      </c>
      <c r="F17" s="3" t="s">
        <v>12</v>
      </c>
      <c r="G17" s="3" t="s">
        <v>12</v>
      </c>
      <c r="H17" s="3" t="s">
        <v>13</v>
      </c>
      <c r="J17" s="3" t="s">
        <v>17</v>
      </c>
      <c r="K17" s="3" t="s">
        <v>10</v>
      </c>
      <c r="L17" s="3" t="s">
        <v>44</v>
      </c>
      <c r="M17" s="3" t="s">
        <v>45</v>
      </c>
      <c r="N17" s="3" t="s">
        <v>13</v>
      </c>
      <c r="O17" s="3" t="s">
        <v>12</v>
      </c>
      <c r="P17" s="3" t="s">
        <v>12</v>
      </c>
      <c r="Q17" s="3" t="s">
        <v>13</v>
      </c>
      <c r="T17" s="4" t="s">
        <v>258</v>
      </c>
      <c r="U17" t="s">
        <v>254</v>
      </c>
      <c r="V17" t="str">
        <f t="shared" si="0"/>
        <v>SW Eng - Content Management</v>
      </c>
      <c r="W17">
        <f t="shared" si="1"/>
        <v>27</v>
      </c>
    </row>
    <row r="18" spans="1:23" x14ac:dyDescent="0.25">
      <c r="A18" s="3" t="s">
        <v>17</v>
      </c>
      <c r="B18" s="3" t="s">
        <v>10</v>
      </c>
      <c r="C18" s="3" t="s">
        <v>46</v>
      </c>
      <c r="D18" s="3" t="s">
        <v>259</v>
      </c>
      <c r="E18" s="3" t="s">
        <v>13</v>
      </c>
      <c r="F18" s="3" t="s">
        <v>12</v>
      </c>
      <c r="G18" s="3" t="s">
        <v>12</v>
      </c>
      <c r="H18" s="3" t="s">
        <v>13</v>
      </c>
      <c r="J18" s="3" t="s">
        <v>17</v>
      </c>
      <c r="K18" s="3" t="s">
        <v>10</v>
      </c>
      <c r="L18" s="3" t="s">
        <v>46</v>
      </c>
      <c r="M18" s="3" t="s">
        <v>47</v>
      </c>
      <c r="N18" s="3" t="s">
        <v>13</v>
      </c>
      <c r="O18" s="3" t="s">
        <v>12</v>
      </c>
      <c r="P18" s="3" t="s">
        <v>12</v>
      </c>
      <c r="Q18" s="3" t="s">
        <v>13</v>
      </c>
      <c r="T18" s="4" t="s">
        <v>260</v>
      </c>
      <c r="U18" t="s">
        <v>254</v>
      </c>
      <c r="V18" t="str">
        <f t="shared" si="0"/>
        <v>SW Eng - Cost optimization</v>
      </c>
      <c r="W18">
        <f t="shared" si="1"/>
        <v>26</v>
      </c>
    </row>
    <row r="19" spans="1:23" x14ac:dyDescent="0.25">
      <c r="A19" s="3" t="s">
        <v>17</v>
      </c>
      <c r="B19" s="3" t="s">
        <v>10</v>
      </c>
      <c r="C19" s="3" t="s">
        <v>48</v>
      </c>
      <c r="D19" s="3" t="s">
        <v>261</v>
      </c>
      <c r="E19" s="3" t="s">
        <v>13</v>
      </c>
      <c r="F19" s="3" t="s">
        <v>12</v>
      </c>
      <c r="G19" s="3" t="s">
        <v>12</v>
      </c>
      <c r="H19" s="3" t="s">
        <v>13</v>
      </c>
      <c r="J19" s="3" t="s">
        <v>17</v>
      </c>
      <c r="K19" s="3" t="s">
        <v>10</v>
      </c>
      <c r="L19" s="3" t="s">
        <v>48</v>
      </c>
      <c r="M19" s="3" t="s">
        <v>49</v>
      </c>
      <c r="N19" s="3" t="s">
        <v>13</v>
      </c>
      <c r="O19" s="3" t="s">
        <v>12</v>
      </c>
      <c r="P19" s="3" t="s">
        <v>12</v>
      </c>
      <c r="Q19" s="3" t="s">
        <v>13</v>
      </c>
      <c r="T19" s="4" t="s">
        <v>262</v>
      </c>
      <c r="U19" t="s">
        <v>254</v>
      </c>
      <c r="V19" t="str">
        <f t="shared" si="0"/>
        <v>SW Eng - Game integration</v>
      </c>
      <c r="W19">
        <f t="shared" si="1"/>
        <v>25</v>
      </c>
    </row>
    <row r="20" spans="1:23" x14ac:dyDescent="0.25">
      <c r="A20" s="3" t="s">
        <v>17</v>
      </c>
      <c r="B20" s="3" t="s">
        <v>10</v>
      </c>
      <c r="C20" s="3" t="s">
        <v>50</v>
      </c>
      <c r="D20" s="3" t="s">
        <v>263</v>
      </c>
      <c r="E20" s="3" t="s">
        <v>13</v>
      </c>
      <c r="F20" s="3" t="s">
        <v>12</v>
      </c>
      <c r="G20" s="3" t="s">
        <v>12</v>
      </c>
      <c r="H20" s="3" t="s">
        <v>13</v>
      </c>
      <c r="J20" s="3" t="s">
        <v>17</v>
      </c>
      <c r="K20" s="3" t="s">
        <v>10</v>
      </c>
      <c r="L20" s="3" t="s">
        <v>50</v>
      </c>
      <c r="M20" s="3" t="s">
        <v>51</v>
      </c>
      <c r="N20" s="3" t="s">
        <v>13</v>
      </c>
      <c r="O20" s="3" t="s">
        <v>12</v>
      </c>
      <c r="P20" s="3" t="s">
        <v>12</v>
      </c>
      <c r="Q20" s="3" t="s">
        <v>13</v>
      </c>
      <c r="T20" s="4" t="s">
        <v>264</v>
      </c>
      <c r="U20" t="s">
        <v>254</v>
      </c>
      <c r="V20" t="str">
        <f t="shared" si="0"/>
        <v>SW Eng - Mandatory migration</v>
      </c>
      <c r="W20">
        <f t="shared" si="1"/>
        <v>28</v>
      </c>
    </row>
    <row r="21" spans="1:23" x14ac:dyDescent="0.25">
      <c r="A21" s="3" t="s">
        <v>17</v>
      </c>
      <c r="B21" s="3" t="s">
        <v>10</v>
      </c>
      <c r="C21" s="3" t="s">
        <v>52</v>
      </c>
      <c r="D21" s="3" t="s">
        <v>265</v>
      </c>
      <c r="E21" s="3" t="s">
        <v>13</v>
      </c>
      <c r="F21" s="3" t="s">
        <v>12</v>
      </c>
      <c r="G21" s="3" t="s">
        <v>12</v>
      </c>
      <c r="H21" s="3" t="s">
        <v>13</v>
      </c>
      <c r="J21" s="3" t="s">
        <v>17</v>
      </c>
      <c r="K21" s="3" t="s">
        <v>10</v>
      </c>
      <c r="L21" s="3" t="s">
        <v>52</v>
      </c>
      <c r="M21" s="3" t="s">
        <v>53</v>
      </c>
      <c r="N21" s="3" t="s">
        <v>13</v>
      </c>
      <c r="O21" s="3" t="s">
        <v>12</v>
      </c>
      <c r="P21" s="3" t="s">
        <v>12</v>
      </c>
      <c r="Q21" s="3" t="s">
        <v>13</v>
      </c>
      <c r="T21" s="4" t="s">
        <v>266</v>
      </c>
      <c r="U21" t="s">
        <v>254</v>
      </c>
      <c r="V21" t="str">
        <f t="shared" si="0"/>
        <v>SW Eng - New Generation FE Product</v>
      </c>
      <c r="W21">
        <f t="shared" si="1"/>
        <v>34</v>
      </c>
    </row>
    <row r="22" spans="1:23" x14ac:dyDescent="0.25">
      <c r="A22" s="3" t="s">
        <v>17</v>
      </c>
      <c r="B22" s="3" t="s">
        <v>10</v>
      </c>
      <c r="C22" s="3" t="s">
        <v>54</v>
      </c>
      <c r="D22" s="3" t="s">
        <v>267</v>
      </c>
      <c r="E22" s="3" t="s">
        <v>13</v>
      </c>
      <c r="F22" s="3" t="s">
        <v>12</v>
      </c>
      <c r="G22" s="3" t="s">
        <v>12</v>
      </c>
      <c r="H22" s="3" t="s">
        <v>13</v>
      </c>
      <c r="J22" s="3" t="s">
        <v>17</v>
      </c>
      <c r="K22" s="3" t="s">
        <v>10</v>
      </c>
      <c r="L22" s="3" t="s">
        <v>54</v>
      </c>
      <c r="M22" s="3" t="s">
        <v>55</v>
      </c>
      <c r="N22" s="3" t="s">
        <v>13</v>
      </c>
      <c r="O22" s="3" t="s">
        <v>12</v>
      </c>
      <c r="P22" s="3" t="s">
        <v>12</v>
      </c>
      <c r="Q22" s="3" t="s">
        <v>13</v>
      </c>
      <c r="T22" s="4" t="s">
        <v>268</v>
      </c>
      <c r="U22" t="s">
        <v>254</v>
      </c>
      <c r="V22" t="str">
        <f t="shared" si="0"/>
        <v>SW Eng - Operational efficiency</v>
      </c>
      <c r="W22">
        <f t="shared" si="1"/>
        <v>31</v>
      </c>
    </row>
    <row r="23" spans="1:23" x14ac:dyDescent="0.25">
      <c r="A23" s="3" t="s">
        <v>17</v>
      </c>
      <c r="B23" s="3" t="s">
        <v>10</v>
      </c>
      <c r="C23" s="3" t="s">
        <v>56</v>
      </c>
      <c r="D23" s="3" t="s">
        <v>269</v>
      </c>
      <c r="E23" s="3" t="s">
        <v>13</v>
      </c>
      <c r="F23" s="3" t="s">
        <v>12</v>
      </c>
      <c r="G23" s="3" t="s">
        <v>12</v>
      </c>
      <c r="H23" s="3" t="s">
        <v>13</v>
      </c>
      <c r="J23" s="3" t="s">
        <v>17</v>
      </c>
      <c r="K23" s="3" t="s">
        <v>10</v>
      </c>
      <c r="L23" s="3" t="s">
        <v>56</v>
      </c>
      <c r="M23" s="3" t="s">
        <v>57</v>
      </c>
      <c r="N23" s="3" t="s">
        <v>13</v>
      </c>
      <c r="O23" s="3" t="s">
        <v>12</v>
      </c>
      <c r="P23" s="3" t="s">
        <v>12</v>
      </c>
      <c r="Q23" s="3" t="s">
        <v>13</v>
      </c>
      <c r="T23" s="4" t="s">
        <v>270</v>
      </c>
      <c r="U23" t="s">
        <v>254</v>
      </c>
      <c r="V23" t="str">
        <f t="shared" si="0"/>
        <v>SW Eng - Player experience</v>
      </c>
      <c r="W23">
        <f t="shared" si="1"/>
        <v>26</v>
      </c>
    </row>
    <row r="24" spans="1:23" x14ac:dyDescent="0.25">
      <c r="A24" s="3" t="s">
        <v>17</v>
      </c>
      <c r="B24" s="3" t="s">
        <v>10</v>
      </c>
      <c r="C24" s="3" t="s">
        <v>58</v>
      </c>
      <c r="D24" s="3" t="s">
        <v>271</v>
      </c>
      <c r="E24" s="3" t="s">
        <v>13</v>
      </c>
      <c r="F24" s="3" t="s">
        <v>12</v>
      </c>
      <c r="G24" s="3" t="s">
        <v>12</v>
      </c>
      <c r="H24" s="3" t="s">
        <v>13</v>
      </c>
      <c r="J24" s="3" t="s">
        <v>17</v>
      </c>
      <c r="K24" s="3" t="s">
        <v>10</v>
      </c>
      <c r="L24" s="3" t="s">
        <v>58</v>
      </c>
      <c r="M24" s="3" t="s">
        <v>59</v>
      </c>
      <c r="N24" s="3" t="s">
        <v>13</v>
      </c>
      <c r="O24" s="3" t="s">
        <v>12</v>
      </c>
      <c r="P24" s="3" t="s">
        <v>12</v>
      </c>
      <c r="Q24" s="3" t="s">
        <v>13</v>
      </c>
      <c r="T24" s="4" t="s">
        <v>272</v>
      </c>
      <c r="U24" t="s">
        <v>254</v>
      </c>
      <c r="V24" t="str">
        <f t="shared" si="0"/>
        <v>SW Eng - Player journey</v>
      </c>
      <c r="W24">
        <f t="shared" si="1"/>
        <v>23</v>
      </c>
    </row>
    <row r="25" spans="1:23" x14ac:dyDescent="0.25">
      <c r="A25" s="3" t="s">
        <v>17</v>
      </c>
      <c r="B25" s="3" t="s">
        <v>10</v>
      </c>
      <c r="C25" s="3" t="s">
        <v>60</v>
      </c>
      <c r="D25" s="3" t="s">
        <v>273</v>
      </c>
      <c r="E25" s="3" t="s">
        <v>13</v>
      </c>
      <c r="F25" s="3" t="s">
        <v>12</v>
      </c>
      <c r="G25" s="3" t="s">
        <v>12</v>
      </c>
      <c r="H25" s="3" t="s">
        <v>13</v>
      </c>
      <c r="J25" s="3" t="s">
        <v>17</v>
      </c>
      <c r="K25" s="3" t="s">
        <v>10</v>
      </c>
      <c r="L25" s="3" t="s">
        <v>60</v>
      </c>
      <c r="M25" s="3" t="s">
        <v>61</v>
      </c>
      <c r="N25" s="3" t="s">
        <v>13</v>
      </c>
      <c r="O25" s="3" t="s">
        <v>12</v>
      </c>
      <c r="P25" s="3" t="s">
        <v>12</v>
      </c>
      <c r="Q25" s="3" t="s">
        <v>13</v>
      </c>
      <c r="T25" s="4" t="s">
        <v>274</v>
      </c>
      <c r="U25" t="s">
        <v>254</v>
      </c>
      <c r="V25" t="str">
        <f t="shared" si="0"/>
        <v>SW Eng - Player Tracking</v>
      </c>
      <c r="W25">
        <f t="shared" si="1"/>
        <v>24</v>
      </c>
    </row>
    <row r="26" spans="1:23" x14ac:dyDescent="0.25">
      <c r="A26" s="3" t="s">
        <v>17</v>
      </c>
      <c r="B26" s="3" t="s">
        <v>10</v>
      </c>
      <c r="C26" s="3" t="s">
        <v>62</v>
      </c>
      <c r="D26" s="3" t="s">
        <v>275</v>
      </c>
      <c r="E26" s="3" t="s">
        <v>13</v>
      </c>
      <c r="F26" s="3" t="s">
        <v>12</v>
      </c>
      <c r="G26" s="3" t="s">
        <v>12</v>
      </c>
      <c r="H26" s="3" t="s">
        <v>13</v>
      </c>
      <c r="J26" s="3" t="s">
        <v>17</v>
      </c>
      <c r="K26" s="3" t="s">
        <v>10</v>
      </c>
      <c r="L26" s="3" t="s">
        <v>62</v>
      </c>
      <c r="M26" s="3" t="s">
        <v>63</v>
      </c>
      <c r="N26" s="3" t="s">
        <v>13</v>
      </c>
      <c r="O26" s="3" t="s">
        <v>12</v>
      </c>
      <c r="P26" s="3" t="s">
        <v>12</v>
      </c>
      <c r="Q26" s="3" t="s">
        <v>13</v>
      </c>
      <c r="T26" s="4" t="s">
        <v>276</v>
      </c>
      <c r="U26" t="s">
        <v>254</v>
      </c>
      <c r="V26" t="str">
        <f t="shared" si="0"/>
        <v>SW Eng - Product improvement</v>
      </c>
      <c r="W26">
        <f t="shared" si="1"/>
        <v>28</v>
      </c>
    </row>
    <row r="27" spans="1:23" x14ac:dyDescent="0.25">
      <c r="A27" s="3" t="s">
        <v>17</v>
      </c>
      <c r="B27" s="3" t="s">
        <v>10</v>
      </c>
      <c r="C27" s="3" t="s">
        <v>64</v>
      </c>
      <c r="D27" s="3" t="s">
        <v>277</v>
      </c>
      <c r="E27" s="3" t="s">
        <v>13</v>
      </c>
      <c r="F27" s="3" t="s">
        <v>12</v>
      </c>
      <c r="G27" s="3" t="s">
        <v>12</v>
      </c>
      <c r="H27" s="3" t="s">
        <v>13</v>
      </c>
      <c r="J27" s="3" t="s">
        <v>17</v>
      </c>
      <c r="K27" s="3" t="s">
        <v>10</v>
      </c>
      <c r="L27" s="3" t="s">
        <v>64</v>
      </c>
      <c r="M27" s="3" t="s">
        <v>65</v>
      </c>
      <c r="N27" s="3" t="s">
        <v>13</v>
      </c>
      <c r="O27" s="3" t="s">
        <v>12</v>
      </c>
      <c r="P27" s="3" t="s">
        <v>12</v>
      </c>
      <c r="Q27" s="3" t="s">
        <v>13</v>
      </c>
      <c r="T27" s="4" t="s">
        <v>278</v>
      </c>
      <c r="U27" t="s">
        <v>254</v>
      </c>
      <c r="V27" t="str">
        <f t="shared" si="0"/>
        <v>SW Eng - Productization</v>
      </c>
      <c r="W27">
        <f t="shared" si="1"/>
        <v>23</v>
      </c>
    </row>
    <row r="28" spans="1:23" x14ac:dyDescent="0.25">
      <c r="A28" s="3" t="s">
        <v>17</v>
      </c>
      <c r="B28" s="3" t="s">
        <v>10</v>
      </c>
      <c r="C28" s="3" t="s">
        <v>66</v>
      </c>
      <c r="D28" s="3" t="s">
        <v>279</v>
      </c>
      <c r="E28" s="3" t="s">
        <v>13</v>
      </c>
      <c r="F28" s="3" t="s">
        <v>12</v>
      </c>
      <c r="G28" s="3" t="s">
        <v>12</v>
      </c>
      <c r="H28" s="3" t="s">
        <v>13</v>
      </c>
      <c r="J28" s="3" t="s">
        <v>17</v>
      </c>
      <c r="K28" s="3" t="s">
        <v>10</v>
      </c>
      <c r="L28" s="3" t="s">
        <v>66</v>
      </c>
      <c r="M28" s="3" t="s">
        <v>67</v>
      </c>
      <c r="N28" s="3" t="s">
        <v>13</v>
      </c>
      <c r="O28" s="3" t="s">
        <v>12</v>
      </c>
      <c r="P28" s="3" t="s">
        <v>12</v>
      </c>
      <c r="Q28" s="3" t="s">
        <v>13</v>
      </c>
      <c r="T28" s="4" t="s">
        <v>280</v>
      </c>
      <c r="U28" t="s">
        <v>254</v>
      </c>
      <c r="V28" t="str">
        <f t="shared" si="0"/>
        <v>SW Eng - Regulatory</v>
      </c>
      <c r="W28">
        <f t="shared" si="1"/>
        <v>19</v>
      </c>
    </row>
    <row r="29" spans="1:23" x14ac:dyDescent="0.25">
      <c r="A29" s="3" t="s">
        <v>17</v>
      </c>
      <c r="B29" s="3" t="s">
        <v>10</v>
      </c>
      <c r="C29" s="3" t="s">
        <v>68</v>
      </c>
      <c r="D29" s="3" t="s">
        <v>281</v>
      </c>
      <c r="E29" s="3" t="s">
        <v>13</v>
      </c>
      <c r="F29" s="3" t="s">
        <v>12</v>
      </c>
      <c r="G29" s="3" t="s">
        <v>12</v>
      </c>
      <c r="H29" s="3" t="s">
        <v>13</v>
      </c>
      <c r="J29" s="3" t="s">
        <v>17</v>
      </c>
      <c r="K29" s="3" t="s">
        <v>10</v>
      </c>
      <c r="L29" s="3" t="s">
        <v>68</v>
      </c>
      <c r="M29" s="3" t="s">
        <v>69</v>
      </c>
      <c r="N29" s="3" t="s">
        <v>13</v>
      </c>
      <c r="O29" s="3" t="s">
        <v>12</v>
      </c>
      <c r="P29" s="3" t="s">
        <v>12</v>
      </c>
      <c r="Q29" s="3" t="s">
        <v>13</v>
      </c>
      <c r="T29" s="4" t="s">
        <v>282</v>
      </c>
      <c r="U29" t="s">
        <v>254</v>
      </c>
      <c r="V29" t="str">
        <f t="shared" si="0"/>
        <v>SW Eng - Reporting</v>
      </c>
      <c r="W29">
        <f t="shared" si="1"/>
        <v>18</v>
      </c>
    </row>
    <row r="30" spans="1:23" x14ac:dyDescent="0.25">
      <c r="A30" s="3" t="s">
        <v>17</v>
      </c>
      <c r="B30" s="3" t="s">
        <v>10</v>
      </c>
      <c r="C30" s="3" t="s">
        <v>70</v>
      </c>
      <c r="D30" s="3" t="s">
        <v>283</v>
      </c>
      <c r="E30" s="3" t="s">
        <v>13</v>
      </c>
      <c r="F30" s="3" t="s">
        <v>12</v>
      </c>
      <c r="G30" s="3" t="s">
        <v>12</v>
      </c>
      <c r="H30" s="3" t="s">
        <v>13</v>
      </c>
      <c r="J30" s="3" t="s">
        <v>17</v>
      </c>
      <c r="K30" s="3" t="s">
        <v>10</v>
      </c>
      <c r="L30" s="3" t="s">
        <v>70</v>
      </c>
      <c r="M30" s="3" t="s">
        <v>71</v>
      </c>
      <c r="N30" s="3" t="s">
        <v>13</v>
      </c>
      <c r="O30" s="3" t="s">
        <v>12</v>
      </c>
      <c r="P30" s="3" t="s">
        <v>12</v>
      </c>
      <c r="Q30" s="3" t="s">
        <v>13</v>
      </c>
      <c r="T30" s="4" t="s">
        <v>284</v>
      </c>
      <c r="U30" t="s">
        <v>254</v>
      </c>
      <c r="V30" t="str">
        <f t="shared" si="0"/>
        <v>SW Eng - Responsible Gaming</v>
      </c>
      <c r="W30">
        <f t="shared" si="1"/>
        <v>27</v>
      </c>
    </row>
    <row r="31" spans="1:23" x14ac:dyDescent="0.25">
      <c r="A31" s="3" t="s">
        <v>17</v>
      </c>
      <c r="B31" s="3" t="s">
        <v>10</v>
      </c>
      <c r="C31" s="3" t="s">
        <v>72</v>
      </c>
      <c r="D31" s="3" t="s">
        <v>285</v>
      </c>
      <c r="E31" s="3" t="s">
        <v>13</v>
      </c>
      <c r="F31" s="3" t="s">
        <v>12</v>
      </c>
      <c r="G31" s="3" t="s">
        <v>12</v>
      </c>
      <c r="H31" s="3" t="s">
        <v>13</v>
      </c>
      <c r="J31" s="3" t="s">
        <v>17</v>
      </c>
      <c r="K31" s="3" t="s">
        <v>10</v>
      </c>
      <c r="L31" s="3" t="s">
        <v>72</v>
      </c>
      <c r="M31" s="3" t="s">
        <v>73</v>
      </c>
      <c r="N31" s="3" t="s">
        <v>13</v>
      </c>
      <c r="O31" s="3" t="s">
        <v>12</v>
      </c>
      <c r="P31" s="3" t="s">
        <v>12</v>
      </c>
      <c r="Q31" s="3" t="s">
        <v>13</v>
      </c>
      <c r="T31" s="4" t="s">
        <v>286</v>
      </c>
      <c r="U31" t="s">
        <v>254</v>
      </c>
      <c r="V31" t="str">
        <f t="shared" si="0"/>
        <v>SW Eng - Security</v>
      </c>
      <c r="W31">
        <f t="shared" si="1"/>
        <v>17</v>
      </c>
    </row>
    <row r="32" spans="1:23" x14ac:dyDescent="0.25">
      <c r="A32" s="3" t="s">
        <v>17</v>
      </c>
      <c r="B32" s="3" t="s">
        <v>10</v>
      </c>
      <c r="C32" s="3" t="s">
        <v>74</v>
      </c>
      <c r="D32" s="3" t="s">
        <v>287</v>
      </c>
      <c r="E32" s="3" t="s">
        <v>13</v>
      </c>
      <c r="F32" s="3" t="s">
        <v>12</v>
      </c>
      <c r="G32" s="3" t="s">
        <v>12</v>
      </c>
      <c r="H32" s="3" t="s">
        <v>13</v>
      </c>
      <c r="J32" s="3" t="s">
        <v>17</v>
      </c>
      <c r="K32" s="3" t="s">
        <v>10</v>
      </c>
      <c r="L32" s="3" t="s">
        <v>74</v>
      </c>
      <c r="M32" s="3" t="s">
        <v>75</v>
      </c>
      <c r="N32" s="3" t="s">
        <v>13</v>
      </c>
      <c r="O32" s="3" t="s">
        <v>12</v>
      </c>
      <c r="P32" s="3" t="s">
        <v>12</v>
      </c>
      <c r="Q32" s="3" t="s">
        <v>13</v>
      </c>
      <c r="T32" s="4" t="s">
        <v>288</v>
      </c>
      <c r="U32" t="s">
        <v>254</v>
      </c>
      <c r="V32" t="str">
        <f t="shared" si="0"/>
        <v>SW Eng - Upsell</v>
      </c>
      <c r="W32">
        <f t="shared" si="1"/>
        <v>15</v>
      </c>
    </row>
    <row r="33" spans="1:23" x14ac:dyDescent="0.25">
      <c r="A33" s="3" t="s">
        <v>17</v>
      </c>
      <c r="B33" s="3" t="s">
        <v>10</v>
      </c>
      <c r="C33" s="3" t="s">
        <v>76</v>
      </c>
      <c r="D33" s="3" t="s">
        <v>289</v>
      </c>
      <c r="E33" s="3" t="s">
        <v>13</v>
      </c>
      <c r="F33" s="3" t="s">
        <v>12</v>
      </c>
      <c r="G33" s="3" t="s">
        <v>12</v>
      </c>
      <c r="H33" s="3" t="s">
        <v>13</v>
      </c>
      <c r="J33" s="3" t="s">
        <v>17</v>
      </c>
      <c r="K33" s="3" t="s">
        <v>10</v>
      </c>
      <c r="L33" s="3" t="s">
        <v>76</v>
      </c>
      <c r="M33" s="3" t="s">
        <v>77</v>
      </c>
      <c r="N33" s="3" t="s">
        <v>13</v>
      </c>
      <c r="O33" s="3" t="s">
        <v>12</v>
      </c>
      <c r="P33" s="3" t="s">
        <v>12</v>
      </c>
      <c r="Q33" s="3" t="s">
        <v>13</v>
      </c>
      <c r="T33" s="4" t="s">
        <v>290</v>
      </c>
      <c r="U33" t="s">
        <v>254</v>
      </c>
      <c r="V33" t="str">
        <f t="shared" si="0"/>
        <v xml:space="preserve">SW Eng - Stand Alone Draw Engine </v>
      </c>
      <c r="W33">
        <f t="shared" si="1"/>
        <v>33</v>
      </c>
    </row>
    <row r="34" spans="1:23" x14ac:dyDescent="0.25">
      <c r="A34" s="3" t="s">
        <v>17</v>
      </c>
      <c r="B34" s="3" t="s">
        <v>10</v>
      </c>
      <c r="C34" s="3" t="s">
        <v>78</v>
      </c>
      <c r="D34" s="3" t="s">
        <v>291</v>
      </c>
      <c r="E34" s="3" t="s">
        <v>13</v>
      </c>
      <c r="F34" s="3" t="s">
        <v>12</v>
      </c>
      <c r="G34" s="3" t="s">
        <v>12</v>
      </c>
      <c r="H34" s="3" t="s">
        <v>13</v>
      </c>
      <c r="J34" s="3" t="s">
        <v>17</v>
      </c>
      <c r="K34" s="3" t="s">
        <v>10</v>
      </c>
      <c r="L34" s="3" t="s">
        <v>78</v>
      </c>
      <c r="M34" s="3" t="s">
        <v>79</v>
      </c>
      <c r="N34" s="3" t="s">
        <v>13</v>
      </c>
      <c r="O34" s="3" t="s">
        <v>12</v>
      </c>
      <c r="P34" s="3" t="s">
        <v>12</v>
      </c>
      <c r="Q34" s="3" t="s">
        <v>13</v>
      </c>
      <c r="T34" s="4" t="s">
        <v>292</v>
      </c>
      <c r="U34" t="s">
        <v>254</v>
      </c>
      <c r="V34" t="str">
        <f t="shared" si="0"/>
        <v>SW Eng - Connected Play</v>
      </c>
      <c r="W34">
        <f t="shared" si="1"/>
        <v>23</v>
      </c>
    </row>
    <row r="35" spans="1:23" x14ac:dyDescent="0.25">
      <c r="A35" t="s">
        <v>14</v>
      </c>
      <c r="B35" t="s">
        <v>10</v>
      </c>
      <c r="C35" t="s">
        <v>80</v>
      </c>
      <c r="D35" t="s">
        <v>81</v>
      </c>
      <c r="E35" t="s">
        <v>12</v>
      </c>
      <c r="F35" t="s">
        <v>13</v>
      </c>
      <c r="G35" t="s">
        <v>13</v>
      </c>
      <c r="H35" t="s">
        <v>13</v>
      </c>
      <c r="J35" t="s">
        <v>14</v>
      </c>
      <c r="K35" t="s">
        <v>10</v>
      </c>
      <c r="L35" t="s">
        <v>80</v>
      </c>
      <c r="M35" t="s">
        <v>81</v>
      </c>
      <c r="N35" t="s">
        <v>12</v>
      </c>
      <c r="O35" t="s">
        <v>13</v>
      </c>
      <c r="P35" t="s">
        <v>13</v>
      </c>
      <c r="Q35" t="s">
        <v>13</v>
      </c>
    </row>
    <row r="36" spans="1:23" x14ac:dyDescent="0.25">
      <c r="A36" s="3" t="s">
        <v>17</v>
      </c>
      <c r="B36" s="3" t="s">
        <v>10</v>
      </c>
      <c r="C36" s="3" t="s">
        <v>82</v>
      </c>
      <c r="D36" s="3" t="s">
        <v>293</v>
      </c>
      <c r="E36" s="3" t="s">
        <v>13</v>
      </c>
      <c r="F36" s="3" t="s">
        <v>12</v>
      </c>
      <c r="G36" s="3" t="s">
        <v>12</v>
      </c>
      <c r="H36" s="3" t="s">
        <v>13</v>
      </c>
      <c r="J36" s="3" t="s">
        <v>17</v>
      </c>
      <c r="K36" s="3" t="s">
        <v>10</v>
      </c>
      <c r="L36" s="3" t="s">
        <v>82</v>
      </c>
      <c r="M36" s="3" t="s">
        <v>83</v>
      </c>
      <c r="N36" s="3" t="s">
        <v>13</v>
      </c>
      <c r="O36" s="3" t="s">
        <v>12</v>
      </c>
      <c r="P36" s="3" t="s">
        <v>12</v>
      </c>
      <c r="Q36" s="3" t="s">
        <v>13</v>
      </c>
      <c r="T36" s="4" t="s">
        <v>253</v>
      </c>
      <c r="U36" t="s">
        <v>294</v>
      </c>
      <c r="V36" t="str">
        <f>CONCATENATE(U36," -",T36)</f>
        <v>Doc Enh - Non CAPEX Features</v>
      </c>
      <c r="W36">
        <f>LEN(V36)</f>
        <v>28</v>
      </c>
    </row>
    <row r="37" spans="1:23" x14ac:dyDescent="0.25">
      <c r="A37" s="3" t="s">
        <v>17</v>
      </c>
      <c r="B37" s="3" t="s">
        <v>10</v>
      </c>
      <c r="C37" s="3" t="s">
        <v>84</v>
      </c>
      <c r="D37" s="3" t="s">
        <v>295</v>
      </c>
      <c r="E37" s="3" t="s">
        <v>13</v>
      </c>
      <c r="F37" s="3" t="s">
        <v>12</v>
      </c>
      <c r="G37" s="3" t="s">
        <v>12</v>
      </c>
      <c r="H37" s="3" t="s">
        <v>13</v>
      </c>
      <c r="J37" s="3" t="s">
        <v>17</v>
      </c>
      <c r="K37" s="3" t="s">
        <v>10</v>
      </c>
      <c r="L37" s="3" t="s">
        <v>84</v>
      </c>
      <c r="M37" s="3" t="s">
        <v>85</v>
      </c>
      <c r="N37" s="3" t="s">
        <v>13</v>
      </c>
      <c r="O37" s="3" t="s">
        <v>12</v>
      </c>
      <c r="P37" s="3" t="s">
        <v>12</v>
      </c>
      <c r="Q37" s="3" t="s">
        <v>13</v>
      </c>
      <c r="T37" s="4" t="s">
        <v>256</v>
      </c>
      <c r="U37" t="s">
        <v>294</v>
      </c>
      <c r="V37" t="str">
        <f t="shared" ref="V37:V55" si="2">CONCATENATE(U37," -",T37)</f>
        <v>Doc Enh - Compliance</v>
      </c>
      <c r="W37">
        <f t="shared" ref="W37:W55" si="3">LEN(V37)</f>
        <v>20</v>
      </c>
    </row>
    <row r="38" spans="1:23" x14ac:dyDescent="0.25">
      <c r="A38" s="3" t="s">
        <v>17</v>
      </c>
      <c r="B38" s="3" t="s">
        <v>10</v>
      </c>
      <c r="C38" s="3" t="s">
        <v>86</v>
      </c>
      <c r="D38" s="3" t="s">
        <v>296</v>
      </c>
      <c r="E38" s="3" t="s">
        <v>13</v>
      </c>
      <c r="F38" s="3" t="s">
        <v>12</v>
      </c>
      <c r="G38" s="3" t="s">
        <v>12</v>
      </c>
      <c r="H38" s="3" t="s">
        <v>13</v>
      </c>
      <c r="J38" s="3" t="s">
        <v>17</v>
      </c>
      <c r="K38" s="3" t="s">
        <v>10</v>
      </c>
      <c r="L38" s="3" t="s">
        <v>86</v>
      </c>
      <c r="M38" s="3" t="s">
        <v>87</v>
      </c>
      <c r="N38" s="3" t="s">
        <v>13</v>
      </c>
      <c r="O38" s="3" t="s">
        <v>12</v>
      </c>
      <c r="P38" s="3" t="s">
        <v>12</v>
      </c>
      <c r="Q38" s="3" t="s">
        <v>13</v>
      </c>
      <c r="T38" s="4" t="s">
        <v>258</v>
      </c>
      <c r="U38" t="s">
        <v>294</v>
      </c>
      <c r="V38" t="str">
        <f t="shared" si="2"/>
        <v>Doc Enh - Content Management</v>
      </c>
      <c r="W38">
        <f t="shared" si="3"/>
        <v>28</v>
      </c>
    </row>
    <row r="39" spans="1:23" x14ac:dyDescent="0.25">
      <c r="A39" s="3" t="s">
        <v>17</v>
      </c>
      <c r="B39" s="3" t="s">
        <v>10</v>
      </c>
      <c r="C39" s="3" t="s">
        <v>88</v>
      </c>
      <c r="D39" s="3" t="s">
        <v>297</v>
      </c>
      <c r="E39" s="3" t="s">
        <v>13</v>
      </c>
      <c r="F39" s="3" t="s">
        <v>12</v>
      </c>
      <c r="G39" s="3" t="s">
        <v>12</v>
      </c>
      <c r="H39" s="3" t="s">
        <v>13</v>
      </c>
      <c r="J39" s="3" t="s">
        <v>17</v>
      </c>
      <c r="K39" s="3" t="s">
        <v>10</v>
      </c>
      <c r="L39" s="3" t="s">
        <v>88</v>
      </c>
      <c r="M39" s="3" t="s">
        <v>89</v>
      </c>
      <c r="N39" s="3" t="s">
        <v>13</v>
      </c>
      <c r="O39" s="3" t="s">
        <v>12</v>
      </c>
      <c r="P39" s="3" t="s">
        <v>12</v>
      </c>
      <c r="Q39" s="3" t="s">
        <v>13</v>
      </c>
      <c r="T39" s="4" t="s">
        <v>260</v>
      </c>
      <c r="U39" t="s">
        <v>294</v>
      </c>
      <c r="V39" t="str">
        <f t="shared" si="2"/>
        <v>Doc Enh - Cost optimization</v>
      </c>
      <c r="W39">
        <f t="shared" si="3"/>
        <v>27</v>
      </c>
    </row>
    <row r="40" spans="1:23" x14ac:dyDescent="0.25">
      <c r="A40" s="3" t="s">
        <v>17</v>
      </c>
      <c r="B40" s="3" t="s">
        <v>10</v>
      </c>
      <c r="C40" s="3" t="s">
        <v>90</v>
      </c>
      <c r="D40" s="3" t="s">
        <v>298</v>
      </c>
      <c r="E40" s="3" t="s">
        <v>13</v>
      </c>
      <c r="F40" s="3" t="s">
        <v>12</v>
      </c>
      <c r="G40" s="3" t="s">
        <v>12</v>
      </c>
      <c r="H40" s="3" t="s">
        <v>13</v>
      </c>
      <c r="J40" s="3" t="s">
        <v>17</v>
      </c>
      <c r="K40" s="3" t="s">
        <v>10</v>
      </c>
      <c r="L40" s="3" t="s">
        <v>90</v>
      </c>
      <c r="M40" s="3" t="s">
        <v>91</v>
      </c>
      <c r="N40" s="3" t="s">
        <v>13</v>
      </c>
      <c r="O40" s="3" t="s">
        <v>12</v>
      </c>
      <c r="P40" s="3" t="s">
        <v>12</v>
      </c>
      <c r="Q40" s="3" t="s">
        <v>13</v>
      </c>
      <c r="T40" s="4" t="s">
        <v>262</v>
      </c>
      <c r="U40" t="s">
        <v>294</v>
      </c>
      <c r="V40" t="str">
        <f t="shared" si="2"/>
        <v>Doc Enh - Game integration</v>
      </c>
      <c r="W40">
        <f t="shared" si="3"/>
        <v>26</v>
      </c>
    </row>
    <row r="41" spans="1:23" x14ac:dyDescent="0.25">
      <c r="A41" s="3" t="s">
        <v>17</v>
      </c>
      <c r="B41" s="3" t="s">
        <v>10</v>
      </c>
      <c r="C41" s="3" t="s">
        <v>92</v>
      </c>
      <c r="D41" s="3" t="s">
        <v>299</v>
      </c>
      <c r="E41" s="3" t="s">
        <v>13</v>
      </c>
      <c r="F41" s="3" t="s">
        <v>12</v>
      </c>
      <c r="G41" s="3" t="s">
        <v>12</v>
      </c>
      <c r="H41" s="3" t="s">
        <v>13</v>
      </c>
      <c r="J41" s="3" t="s">
        <v>17</v>
      </c>
      <c r="K41" s="3" t="s">
        <v>10</v>
      </c>
      <c r="L41" s="3" t="s">
        <v>92</v>
      </c>
      <c r="M41" s="3" t="s">
        <v>93</v>
      </c>
      <c r="N41" s="3" t="s">
        <v>13</v>
      </c>
      <c r="O41" s="3" t="s">
        <v>12</v>
      </c>
      <c r="P41" s="3" t="s">
        <v>12</v>
      </c>
      <c r="Q41" s="3" t="s">
        <v>13</v>
      </c>
      <c r="T41" s="4" t="s">
        <v>264</v>
      </c>
      <c r="U41" t="s">
        <v>294</v>
      </c>
      <c r="V41" t="str">
        <f t="shared" si="2"/>
        <v>Doc Enh - Mandatory migration</v>
      </c>
      <c r="W41">
        <f t="shared" si="3"/>
        <v>29</v>
      </c>
    </row>
    <row r="42" spans="1:23" x14ac:dyDescent="0.25">
      <c r="A42" s="3" t="s">
        <v>17</v>
      </c>
      <c r="B42" s="3" t="s">
        <v>10</v>
      </c>
      <c r="C42" s="3" t="s">
        <v>94</v>
      </c>
      <c r="D42" s="3" t="s">
        <v>300</v>
      </c>
      <c r="E42" s="3" t="s">
        <v>13</v>
      </c>
      <c r="F42" s="3" t="s">
        <v>12</v>
      </c>
      <c r="G42" s="3" t="s">
        <v>12</v>
      </c>
      <c r="H42" s="3" t="s">
        <v>13</v>
      </c>
      <c r="J42" s="3" t="s">
        <v>17</v>
      </c>
      <c r="K42" s="3" t="s">
        <v>10</v>
      </c>
      <c r="L42" s="3" t="s">
        <v>94</v>
      </c>
      <c r="M42" s="3" t="s">
        <v>95</v>
      </c>
      <c r="N42" s="3" t="s">
        <v>13</v>
      </c>
      <c r="O42" s="3" t="s">
        <v>12</v>
      </c>
      <c r="P42" s="3" t="s">
        <v>12</v>
      </c>
      <c r="Q42" s="3" t="s">
        <v>13</v>
      </c>
      <c r="T42" s="4" t="s">
        <v>266</v>
      </c>
      <c r="U42" t="s">
        <v>294</v>
      </c>
      <c r="V42" t="str">
        <f t="shared" si="2"/>
        <v>Doc Enh - New Generation FE Product</v>
      </c>
      <c r="W42">
        <f t="shared" si="3"/>
        <v>35</v>
      </c>
    </row>
    <row r="43" spans="1:23" x14ac:dyDescent="0.25">
      <c r="A43" s="3" t="s">
        <v>17</v>
      </c>
      <c r="B43" s="3" t="s">
        <v>10</v>
      </c>
      <c r="C43" s="3" t="s">
        <v>96</v>
      </c>
      <c r="D43" s="3" t="s">
        <v>301</v>
      </c>
      <c r="E43" s="3" t="s">
        <v>13</v>
      </c>
      <c r="F43" s="3" t="s">
        <v>12</v>
      </c>
      <c r="G43" s="3" t="s">
        <v>12</v>
      </c>
      <c r="H43" s="3" t="s">
        <v>13</v>
      </c>
      <c r="J43" s="3" t="s">
        <v>17</v>
      </c>
      <c r="K43" s="3" t="s">
        <v>10</v>
      </c>
      <c r="L43" s="3" t="s">
        <v>96</v>
      </c>
      <c r="M43" s="3" t="s">
        <v>97</v>
      </c>
      <c r="N43" s="3" t="s">
        <v>13</v>
      </c>
      <c r="O43" s="3" t="s">
        <v>12</v>
      </c>
      <c r="P43" s="3" t="s">
        <v>12</v>
      </c>
      <c r="Q43" s="3" t="s">
        <v>13</v>
      </c>
      <c r="T43" s="4" t="s">
        <v>268</v>
      </c>
      <c r="U43" t="s">
        <v>294</v>
      </c>
      <c r="V43" t="str">
        <f t="shared" si="2"/>
        <v>Doc Enh - Operational efficiency</v>
      </c>
      <c r="W43">
        <f t="shared" si="3"/>
        <v>32</v>
      </c>
    </row>
    <row r="44" spans="1:23" x14ac:dyDescent="0.25">
      <c r="A44" s="3" t="s">
        <v>17</v>
      </c>
      <c r="B44" s="3" t="s">
        <v>10</v>
      </c>
      <c r="C44" s="3" t="s">
        <v>98</v>
      </c>
      <c r="D44" s="3" t="s">
        <v>302</v>
      </c>
      <c r="E44" s="3" t="s">
        <v>13</v>
      </c>
      <c r="F44" s="3" t="s">
        <v>12</v>
      </c>
      <c r="G44" s="3" t="s">
        <v>12</v>
      </c>
      <c r="H44" s="3" t="s">
        <v>13</v>
      </c>
      <c r="J44" s="3" t="s">
        <v>17</v>
      </c>
      <c r="K44" s="3" t="s">
        <v>10</v>
      </c>
      <c r="L44" s="3" t="s">
        <v>98</v>
      </c>
      <c r="M44" s="3" t="s">
        <v>99</v>
      </c>
      <c r="N44" s="3" t="s">
        <v>13</v>
      </c>
      <c r="O44" s="3" t="s">
        <v>12</v>
      </c>
      <c r="P44" s="3" t="s">
        <v>12</v>
      </c>
      <c r="Q44" s="3" t="s">
        <v>13</v>
      </c>
      <c r="T44" s="4" t="s">
        <v>270</v>
      </c>
      <c r="U44" t="s">
        <v>294</v>
      </c>
      <c r="V44" t="str">
        <f t="shared" si="2"/>
        <v>Doc Enh - Player experience</v>
      </c>
      <c r="W44">
        <f t="shared" si="3"/>
        <v>27</v>
      </c>
    </row>
    <row r="45" spans="1:23" x14ac:dyDescent="0.25">
      <c r="A45" s="3" t="s">
        <v>17</v>
      </c>
      <c r="B45" s="3" t="s">
        <v>10</v>
      </c>
      <c r="C45" s="3" t="s">
        <v>100</v>
      </c>
      <c r="D45" s="3" t="s">
        <v>303</v>
      </c>
      <c r="E45" s="3" t="s">
        <v>13</v>
      </c>
      <c r="F45" s="3" t="s">
        <v>12</v>
      </c>
      <c r="G45" s="3" t="s">
        <v>12</v>
      </c>
      <c r="H45" s="3" t="s">
        <v>13</v>
      </c>
      <c r="J45" s="3" t="s">
        <v>17</v>
      </c>
      <c r="K45" s="3" t="s">
        <v>10</v>
      </c>
      <c r="L45" s="3" t="s">
        <v>100</v>
      </c>
      <c r="M45" s="3" t="s">
        <v>101</v>
      </c>
      <c r="N45" s="3" t="s">
        <v>13</v>
      </c>
      <c r="O45" s="3" t="s">
        <v>12</v>
      </c>
      <c r="P45" s="3" t="s">
        <v>12</v>
      </c>
      <c r="Q45" s="3" t="s">
        <v>13</v>
      </c>
      <c r="T45" s="4" t="s">
        <v>272</v>
      </c>
      <c r="U45" t="s">
        <v>294</v>
      </c>
      <c r="V45" t="str">
        <f t="shared" si="2"/>
        <v>Doc Enh - Player journey</v>
      </c>
      <c r="W45">
        <f t="shared" si="3"/>
        <v>24</v>
      </c>
    </row>
    <row r="46" spans="1:23" x14ac:dyDescent="0.25">
      <c r="A46" s="3" t="s">
        <v>17</v>
      </c>
      <c r="B46" s="3" t="s">
        <v>10</v>
      </c>
      <c r="C46" s="3" t="s">
        <v>102</v>
      </c>
      <c r="D46" s="3" t="s">
        <v>304</v>
      </c>
      <c r="E46" s="3" t="s">
        <v>13</v>
      </c>
      <c r="F46" s="3" t="s">
        <v>12</v>
      </c>
      <c r="G46" s="3" t="s">
        <v>12</v>
      </c>
      <c r="H46" s="3" t="s">
        <v>13</v>
      </c>
      <c r="J46" s="3" t="s">
        <v>17</v>
      </c>
      <c r="K46" s="3" t="s">
        <v>10</v>
      </c>
      <c r="L46" s="3" t="s">
        <v>102</v>
      </c>
      <c r="M46" s="3" t="s">
        <v>103</v>
      </c>
      <c r="N46" s="3" t="s">
        <v>13</v>
      </c>
      <c r="O46" s="3" t="s">
        <v>12</v>
      </c>
      <c r="P46" s="3" t="s">
        <v>12</v>
      </c>
      <c r="Q46" s="3" t="s">
        <v>13</v>
      </c>
      <c r="T46" s="4" t="s">
        <v>274</v>
      </c>
      <c r="U46" t="s">
        <v>294</v>
      </c>
      <c r="V46" t="str">
        <f t="shared" si="2"/>
        <v>Doc Enh - Player Tracking</v>
      </c>
      <c r="W46">
        <f t="shared" si="3"/>
        <v>25</v>
      </c>
    </row>
    <row r="47" spans="1:23" x14ac:dyDescent="0.25">
      <c r="A47" s="3" t="s">
        <v>17</v>
      </c>
      <c r="B47" s="3" t="s">
        <v>10</v>
      </c>
      <c r="C47" s="3" t="s">
        <v>104</v>
      </c>
      <c r="D47" s="3" t="s">
        <v>305</v>
      </c>
      <c r="E47" s="3" t="s">
        <v>13</v>
      </c>
      <c r="F47" s="3" t="s">
        <v>12</v>
      </c>
      <c r="G47" s="3" t="s">
        <v>12</v>
      </c>
      <c r="H47" s="3" t="s">
        <v>13</v>
      </c>
      <c r="J47" s="3" t="s">
        <v>17</v>
      </c>
      <c r="K47" s="3" t="s">
        <v>10</v>
      </c>
      <c r="L47" s="3" t="s">
        <v>104</v>
      </c>
      <c r="M47" s="3" t="s">
        <v>105</v>
      </c>
      <c r="N47" s="3" t="s">
        <v>13</v>
      </c>
      <c r="O47" s="3" t="s">
        <v>12</v>
      </c>
      <c r="P47" s="3" t="s">
        <v>12</v>
      </c>
      <c r="Q47" s="3" t="s">
        <v>13</v>
      </c>
      <c r="T47" s="4" t="s">
        <v>276</v>
      </c>
      <c r="U47" t="s">
        <v>294</v>
      </c>
      <c r="V47" t="str">
        <f t="shared" si="2"/>
        <v>Doc Enh - Product improvement</v>
      </c>
      <c r="W47">
        <f t="shared" si="3"/>
        <v>29</v>
      </c>
    </row>
    <row r="48" spans="1:23" x14ac:dyDescent="0.25">
      <c r="A48" s="3" t="s">
        <v>17</v>
      </c>
      <c r="B48" s="3" t="s">
        <v>10</v>
      </c>
      <c r="C48" s="3" t="s">
        <v>106</v>
      </c>
      <c r="D48" s="3" t="s">
        <v>306</v>
      </c>
      <c r="E48" s="3" t="s">
        <v>13</v>
      </c>
      <c r="F48" s="3" t="s">
        <v>12</v>
      </c>
      <c r="G48" s="3" t="s">
        <v>12</v>
      </c>
      <c r="H48" s="3" t="s">
        <v>13</v>
      </c>
      <c r="J48" s="3" t="s">
        <v>17</v>
      </c>
      <c r="K48" s="3" t="s">
        <v>10</v>
      </c>
      <c r="L48" s="3" t="s">
        <v>106</v>
      </c>
      <c r="M48" s="3" t="s">
        <v>107</v>
      </c>
      <c r="N48" s="3" t="s">
        <v>13</v>
      </c>
      <c r="O48" s="3" t="s">
        <v>12</v>
      </c>
      <c r="P48" s="3" t="s">
        <v>12</v>
      </c>
      <c r="Q48" s="3" t="s">
        <v>13</v>
      </c>
      <c r="T48" s="4" t="s">
        <v>278</v>
      </c>
      <c r="U48" t="s">
        <v>294</v>
      </c>
      <c r="V48" t="str">
        <f t="shared" si="2"/>
        <v>Doc Enh - Productization</v>
      </c>
      <c r="W48">
        <f t="shared" si="3"/>
        <v>24</v>
      </c>
    </row>
    <row r="49" spans="1:23" x14ac:dyDescent="0.25">
      <c r="A49" s="3" t="s">
        <v>17</v>
      </c>
      <c r="B49" s="3" t="s">
        <v>10</v>
      </c>
      <c r="C49" s="3" t="s">
        <v>108</v>
      </c>
      <c r="D49" s="3" t="s">
        <v>307</v>
      </c>
      <c r="E49" s="3" t="s">
        <v>13</v>
      </c>
      <c r="F49" s="3" t="s">
        <v>12</v>
      </c>
      <c r="G49" s="3" t="s">
        <v>12</v>
      </c>
      <c r="H49" s="3" t="s">
        <v>13</v>
      </c>
      <c r="J49" s="3" t="s">
        <v>17</v>
      </c>
      <c r="K49" s="3" t="s">
        <v>10</v>
      </c>
      <c r="L49" s="3" t="s">
        <v>108</v>
      </c>
      <c r="M49" s="3" t="s">
        <v>109</v>
      </c>
      <c r="N49" s="3" t="s">
        <v>13</v>
      </c>
      <c r="O49" s="3" t="s">
        <v>12</v>
      </c>
      <c r="P49" s="3" t="s">
        <v>12</v>
      </c>
      <c r="Q49" s="3" t="s">
        <v>13</v>
      </c>
      <c r="T49" s="4" t="s">
        <v>280</v>
      </c>
      <c r="U49" t="s">
        <v>294</v>
      </c>
      <c r="V49" t="str">
        <f t="shared" si="2"/>
        <v>Doc Enh - Regulatory</v>
      </c>
      <c r="W49">
        <f t="shared" si="3"/>
        <v>20</v>
      </c>
    </row>
    <row r="50" spans="1:23" x14ac:dyDescent="0.25">
      <c r="A50" s="3" t="s">
        <v>17</v>
      </c>
      <c r="B50" s="3" t="s">
        <v>10</v>
      </c>
      <c r="C50" s="3" t="s">
        <v>110</v>
      </c>
      <c r="D50" s="3" t="s">
        <v>308</v>
      </c>
      <c r="E50" s="3" t="s">
        <v>13</v>
      </c>
      <c r="F50" s="3" t="s">
        <v>12</v>
      </c>
      <c r="G50" s="3" t="s">
        <v>12</v>
      </c>
      <c r="H50" s="3" t="s">
        <v>13</v>
      </c>
      <c r="J50" s="3" t="s">
        <v>17</v>
      </c>
      <c r="K50" s="3" t="s">
        <v>10</v>
      </c>
      <c r="L50" s="3" t="s">
        <v>110</v>
      </c>
      <c r="M50" s="3" t="s">
        <v>111</v>
      </c>
      <c r="N50" s="3" t="s">
        <v>13</v>
      </c>
      <c r="O50" s="3" t="s">
        <v>12</v>
      </c>
      <c r="P50" s="3" t="s">
        <v>12</v>
      </c>
      <c r="Q50" s="3" t="s">
        <v>13</v>
      </c>
      <c r="T50" s="4" t="s">
        <v>282</v>
      </c>
      <c r="U50" t="s">
        <v>294</v>
      </c>
      <c r="V50" t="str">
        <f t="shared" si="2"/>
        <v>Doc Enh - Reporting</v>
      </c>
      <c r="W50">
        <f t="shared" si="3"/>
        <v>19</v>
      </c>
    </row>
    <row r="51" spans="1:23" x14ac:dyDescent="0.25">
      <c r="A51" s="3" t="s">
        <v>17</v>
      </c>
      <c r="B51" s="3" t="s">
        <v>10</v>
      </c>
      <c r="C51" s="3" t="s">
        <v>112</v>
      </c>
      <c r="D51" s="3" t="s">
        <v>309</v>
      </c>
      <c r="E51" s="3" t="s">
        <v>13</v>
      </c>
      <c r="F51" s="3" t="s">
        <v>12</v>
      </c>
      <c r="G51" s="3" t="s">
        <v>12</v>
      </c>
      <c r="H51" s="3" t="s">
        <v>13</v>
      </c>
      <c r="J51" s="3" t="s">
        <v>17</v>
      </c>
      <c r="K51" s="3" t="s">
        <v>10</v>
      </c>
      <c r="L51" s="3" t="s">
        <v>112</v>
      </c>
      <c r="M51" s="3" t="s">
        <v>113</v>
      </c>
      <c r="N51" s="3" t="s">
        <v>13</v>
      </c>
      <c r="O51" s="3" t="s">
        <v>12</v>
      </c>
      <c r="P51" s="3" t="s">
        <v>12</v>
      </c>
      <c r="Q51" s="3" t="s">
        <v>13</v>
      </c>
      <c r="T51" s="4" t="s">
        <v>284</v>
      </c>
      <c r="U51" t="s">
        <v>294</v>
      </c>
      <c r="V51" t="str">
        <f t="shared" si="2"/>
        <v>Doc Enh - Responsible Gaming</v>
      </c>
      <c r="W51">
        <f t="shared" si="3"/>
        <v>28</v>
      </c>
    </row>
    <row r="52" spans="1:23" x14ac:dyDescent="0.25">
      <c r="A52" s="3" t="s">
        <v>17</v>
      </c>
      <c r="B52" s="3" t="s">
        <v>10</v>
      </c>
      <c r="C52" s="3" t="s">
        <v>114</v>
      </c>
      <c r="D52" s="3" t="s">
        <v>310</v>
      </c>
      <c r="E52" s="3" t="s">
        <v>13</v>
      </c>
      <c r="F52" s="3" t="s">
        <v>12</v>
      </c>
      <c r="G52" s="3" t="s">
        <v>12</v>
      </c>
      <c r="H52" s="3" t="s">
        <v>13</v>
      </c>
      <c r="J52" s="3" t="s">
        <v>17</v>
      </c>
      <c r="K52" s="3" t="s">
        <v>10</v>
      </c>
      <c r="L52" s="3" t="s">
        <v>114</v>
      </c>
      <c r="M52" s="3" t="s">
        <v>115</v>
      </c>
      <c r="N52" s="3" t="s">
        <v>13</v>
      </c>
      <c r="O52" s="3" t="s">
        <v>12</v>
      </c>
      <c r="P52" s="3" t="s">
        <v>12</v>
      </c>
      <c r="Q52" s="3" t="s">
        <v>13</v>
      </c>
      <c r="T52" s="4" t="s">
        <v>286</v>
      </c>
      <c r="U52" t="s">
        <v>294</v>
      </c>
      <c r="V52" t="str">
        <f t="shared" si="2"/>
        <v>Doc Enh - Security</v>
      </c>
      <c r="W52">
        <f t="shared" si="3"/>
        <v>18</v>
      </c>
    </row>
    <row r="53" spans="1:23" x14ac:dyDescent="0.25">
      <c r="A53" s="3" t="s">
        <v>17</v>
      </c>
      <c r="B53" s="3" t="s">
        <v>10</v>
      </c>
      <c r="C53" s="3" t="s">
        <v>116</v>
      </c>
      <c r="D53" s="3" t="s">
        <v>311</v>
      </c>
      <c r="E53" s="3" t="s">
        <v>13</v>
      </c>
      <c r="F53" s="3" t="s">
        <v>12</v>
      </c>
      <c r="G53" s="3" t="s">
        <v>12</v>
      </c>
      <c r="H53" s="3" t="s">
        <v>13</v>
      </c>
      <c r="J53" s="3" t="s">
        <v>17</v>
      </c>
      <c r="K53" s="3" t="s">
        <v>10</v>
      </c>
      <c r="L53" s="3" t="s">
        <v>116</v>
      </c>
      <c r="M53" s="3" t="s">
        <v>117</v>
      </c>
      <c r="N53" s="3" t="s">
        <v>13</v>
      </c>
      <c r="O53" s="3" t="s">
        <v>12</v>
      </c>
      <c r="P53" s="3" t="s">
        <v>12</v>
      </c>
      <c r="Q53" s="3" t="s">
        <v>13</v>
      </c>
      <c r="T53" s="4" t="s">
        <v>288</v>
      </c>
      <c r="U53" t="s">
        <v>294</v>
      </c>
      <c r="V53" t="str">
        <f t="shared" si="2"/>
        <v>Doc Enh - Upsell</v>
      </c>
      <c r="W53">
        <f t="shared" si="3"/>
        <v>16</v>
      </c>
    </row>
    <row r="54" spans="1:23" x14ac:dyDescent="0.25">
      <c r="A54" s="3" t="s">
        <v>17</v>
      </c>
      <c r="B54" s="3" t="s">
        <v>10</v>
      </c>
      <c r="C54" s="3" t="s">
        <v>118</v>
      </c>
      <c r="D54" s="3" t="s">
        <v>312</v>
      </c>
      <c r="E54" s="3" t="s">
        <v>13</v>
      </c>
      <c r="F54" s="3" t="s">
        <v>12</v>
      </c>
      <c r="G54" s="3" t="s">
        <v>12</v>
      </c>
      <c r="H54" s="3" t="s">
        <v>13</v>
      </c>
      <c r="J54" s="3" t="s">
        <v>17</v>
      </c>
      <c r="K54" s="3" t="s">
        <v>10</v>
      </c>
      <c r="L54" s="3" t="s">
        <v>118</v>
      </c>
      <c r="M54" s="3" t="s">
        <v>119</v>
      </c>
      <c r="N54" s="3" t="s">
        <v>13</v>
      </c>
      <c r="O54" s="3" t="s">
        <v>12</v>
      </c>
      <c r="P54" s="3" t="s">
        <v>12</v>
      </c>
      <c r="Q54" s="3" t="s">
        <v>13</v>
      </c>
      <c r="T54" s="4" t="s">
        <v>290</v>
      </c>
      <c r="U54" t="s">
        <v>294</v>
      </c>
      <c r="V54" t="str">
        <f t="shared" si="2"/>
        <v xml:space="preserve">Doc Enh - Stand Alone Draw Engine </v>
      </c>
      <c r="W54">
        <f t="shared" si="3"/>
        <v>34</v>
      </c>
    </row>
    <row r="55" spans="1:23" x14ac:dyDescent="0.25">
      <c r="A55" s="3" t="s">
        <v>17</v>
      </c>
      <c r="B55" s="3" t="s">
        <v>10</v>
      </c>
      <c r="C55" s="3" t="s">
        <v>120</v>
      </c>
      <c r="D55" s="3" t="s">
        <v>313</v>
      </c>
      <c r="E55" s="3" t="s">
        <v>13</v>
      </c>
      <c r="F55" s="3" t="s">
        <v>12</v>
      </c>
      <c r="G55" s="3" t="s">
        <v>12</v>
      </c>
      <c r="H55" s="3" t="s">
        <v>13</v>
      </c>
      <c r="J55" s="3" t="s">
        <v>17</v>
      </c>
      <c r="K55" s="3" t="s">
        <v>10</v>
      </c>
      <c r="L55" s="3" t="s">
        <v>120</v>
      </c>
      <c r="M55" s="3" t="s">
        <v>121</v>
      </c>
      <c r="N55" s="3" t="s">
        <v>13</v>
      </c>
      <c r="O55" s="3" t="s">
        <v>12</v>
      </c>
      <c r="P55" s="3" t="s">
        <v>12</v>
      </c>
      <c r="Q55" s="3" t="s">
        <v>13</v>
      </c>
      <c r="T55" s="4" t="s">
        <v>292</v>
      </c>
      <c r="U55" t="s">
        <v>294</v>
      </c>
      <c r="V55" t="str">
        <f t="shared" si="2"/>
        <v>Doc Enh - Connected Play</v>
      </c>
      <c r="W55">
        <f t="shared" si="3"/>
        <v>24</v>
      </c>
    </row>
    <row r="56" spans="1:23" x14ac:dyDescent="0.25">
      <c r="A56" t="s">
        <v>14</v>
      </c>
      <c r="B56" t="s">
        <v>10</v>
      </c>
      <c r="C56" t="s">
        <v>122</v>
      </c>
      <c r="D56" t="s">
        <v>123</v>
      </c>
      <c r="E56" t="s">
        <v>12</v>
      </c>
      <c r="F56" t="s">
        <v>13</v>
      </c>
      <c r="G56" t="s">
        <v>13</v>
      </c>
      <c r="H56" t="s">
        <v>13</v>
      </c>
      <c r="J56" t="s">
        <v>14</v>
      </c>
      <c r="K56" t="s">
        <v>10</v>
      </c>
      <c r="L56" t="s">
        <v>122</v>
      </c>
      <c r="M56" t="s">
        <v>123</v>
      </c>
      <c r="N56" t="s">
        <v>12</v>
      </c>
      <c r="O56" t="s">
        <v>13</v>
      </c>
      <c r="P56" t="s">
        <v>13</v>
      </c>
      <c r="Q56" t="s">
        <v>13</v>
      </c>
    </row>
    <row r="57" spans="1:23" x14ac:dyDescent="0.25">
      <c r="A57" t="s">
        <v>17</v>
      </c>
      <c r="B57" t="s">
        <v>10</v>
      </c>
      <c r="C57" t="s">
        <v>125</v>
      </c>
      <c r="D57" t="s">
        <v>314</v>
      </c>
      <c r="E57" t="s">
        <v>13</v>
      </c>
      <c r="F57" t="s">
        <v>12</v>
      </c>
      <c r="G57" t="s">
        <v>13</v>
      </c>
      <c r="H57" t="s">
        <v>13</v>
      </c>
      <c r="J57" t="s">
        <v>17</v>
      </c>
      <c r="K57" t="s">
        <v>10</v>
      </c>
      <c r="L57" t="s">
        <v>125</v>
      </c>
      <c r="M57" t="s">
        <v>126</v>
      </c>
      <c r="N57" t="s">
        <v>13</v>
      </c>
      <c r="O57" t="s">
        <v>12</v>
      </c>
      <c r="P57" t="s">
        <v>13</v>
      </c>
      <c r="Q57" t="s">
        <v>13</v>
      </c>
      <c r="T57" s="4" t="s">
        <v>253</v>
      </c>
      <c r="U57" t="s">
        <v>315</v>
      </c>
      <c r="V57" t="str">
        <f>CONCATENATE(U57," -",T57)</f>
        <v>Fxd Infr o/prem - Non CAPEX Features</v>
      </c>
      <c r="W57">
        <f>LEN(V57)</f>
        <v>36</v>
      </c>
    </row>
    <row r="58" spans="1:23" x14ac:dyDescent="0.25">
      <c r="A58" t="s">
        <v>17</v>
      </c>
      <c r="B58" t="s">
        <v>10</v>
      </c>
      <c r="C58" t="s">
        <v>127</v>
      </c>
      <c r="D58" t="s">
        <v>316</v>
      </c>
      <c r="E58" t="s">
        <v>13</v>
      </c>
      <c r="F58" t="s">
        <v>12</v>
      </c>
      <c r="G58" t="s">
        <v>13</v>
      </c>
      <c r="H58" t="s">
        <v>13</v>
      </c>
      <c r="J58" t="s">
        <v>17</v>
      </c>
      <c r="K58" t="s">
        <v>10</v>
      </c>
      <c r="L58" t="s">
        <v>127</v>
      </c>
      <c r="M58" t="s">
        <v>128</v>
      </c>
      <c r="N58" t="s">
        <v>13</v>
      </c>
      <c r="O58" t="s">
        <v>12</v>
      </c>
      <c r="P58" t="s">
        <v>13</v>
      </c>
      <c r="Q58" t="s">
        <v>13</v>
      </c>
      <c r="T58" s="4" t="s">
        <v>256</v>
      </c>
      <c r="U58" t="s">
        <v>315</v>
      </c>
      <c r="V58" t="str">
        <f t="shared" ref="V58:V76" si="4">CONCATENATE(U58," -",T58)</f>
        <v>Fxd Infr o/prem - Compliance</v>
      </c>
      <c r="W58">
        <f t="shared" ref="W58:W76" si="5">LEN(V58)</f>
        <v>28</v>
      </c>
    </row>
    <row r="59" spans="1:23" x14ac:dyDescent="0.25">
      <c r="A59" t="s">
        <v>17</v>
      </c>
      <c r="B59" t="s">
        <v>10</v>
      </c>
      <c r="C59" t="s">
        <v>129</v>
      </c>
      <c r="D59" t="s">
        <v>317</v>
      </c>
      <c r="E59" t="s">
        <v>13</v>
      </c>
      <c r="F59" t="s">
        <v>12</v>
      </c>
      <c r="G59" t="s">
        <v>13</v>
      </c>
      <c r="H59" t="s">
        <v>13</v>
      </c>
      <c r="J59" t="s">
        <v>17</v>
      </c>
      <c r="K59" t="s">
        <v>10</v>
      </c>
      <c r="L59" t="s">
        <v>129</v>
      </c>
      <c r="M59" t="s">
        <v>130</v>
      </c>
      <c r="N59" t="s">
        <v>13</v>
      </c>
      <c r="O59" t="s">
        <v>12</v>
      </c>
      <c r="P59" t="s">
        <v>13</v>
      </c>
      <c r="Q59" t="s">
        <v>13</v>
      </c>
      <c r="T59" s="4" t="s">
        <v>258</v>
      </c>
      <c r="U59" t="s">
        <v>315</v>
      </c>
      <c r="V59" t="str">
        <f t="shared" si="4"/>
        <v>Fxd Infr o/prem - Content Management</v>
      </c>
      <c r="W59">
        <f t="shared" si="5"/>
        <v>36</v>
      </c>
    </row>
    <row r="60" spans="1:23" x14ac:dyDescent="0.25">
      <c r="A60" t="s">
        <v>17</v>
      </c>
      <c r="B60" t="s">
        <v>10</v>
      </c>
      <c r="C60" t="s">
        <v>131</v>
      </c>
      <c r="D60" t="s">
        <v>318</v>
      </c>
      <c r="E60" t="s">
        <v>13</v>
      </c>
      <c r="F60" t="s">
        <v>12</v>
      </c>
      <c r="G60" t="s">
        <v>13</v>
      </c>
      <c r="H60" t="s">
        <v>13</v>
      </c>
      <c r="J60" t="s">
        <v>17</v>
      </c>
      <c r="K60" t="s">
        <v>10</v>
      </c>
      <c r="L60" t="s">
        <v>131</v>
      </c>
      <c r="M60" t="s">
        <v>132</v>
      </c>
      <c r="N60" t="s">
        <v>13</v>
      </c>
      <c r="O60" t="s">
        <v>12</v>
      </c>
      <c r="P60" t="s">
        <v>13</v>
      </c>
      <c r="Q60" t="s">
        <v>13</v>
      </c>
      <c r="T60" s="4" t="s">
        <v>260</v>
      </c>
      <c r="U60" t="s">
        <v>315</v>
      </c>
      <c r="V60" t="str">
        <f t="shared" si="4"/>
        <v>Fxd Infr o/prem - Cost optimization</v>
      </c>
      <c r="W60">
        <f t="shared" si="5"/>
        <v>35</v>
      </c>
    </row>
    <row r="61" spans="1:23" x14ac:dyDescent="0.25">
      <c r="A61" t="s">
        <v>17</v>
      </c>
      <c r="B61" t="s">
        <v>10</v>
      </c>
      <c r="C61" t="s">
        <v>133</v>
      </c>
      <c r="D61" t="s">
        <v>319</v>
      </c>
      <c r="E61" t="s">
        <v>13</v>
      </c>
      <c r="F61" t="s">
        <v>12</v>
      </c>
      <c r="G61" t="s">
        <v>13</v>
      </c>
      <c r="H61" t="s">
        <v>13</v>
      </c>
      <c r="J61" t="s">
        <v>17</v>
      </c>
      <c r="K61" t="s">
        <v>10</v>
      </c>
      <c r="L61" t="s">
        <v>133</v>
      </c>
      <c r="M61" t="s">
        <v>134</v>
      </c>
      <c r="N61" t="s">
        <v>13</v>
      </c>
      <c r="O61" t="s">
        <v>12</v>
      </c>
      <c r="P61" t="s">
        <v>13</v>
      </c>
      <c r="Q61" t="s">
        <v>13</v>
      </c>
      <c r="T61" s="4" t="s">
        <v>262</v>
      </c>
      <c r="U61" t="s">
        <v>315</v>
      </c>
      <c r="V61" t="str">
        <f t="shared" si="4"/>
        <v>Fxd Infr o/prem - Game integration</v>
      </c>
      <c r="W61">
        <f t="shared" si="5"/>
        <v>34</v>
      </c>
    </row>
    <row r="62" spans="1:23" x14ac:dyDescent="0.25">
      <c r="A62" t="s">
        <v>17</v>
      </c>
      <c r="B62" t="s">
        <v>10</v>
      </c>
      <c r="C62" t="s">
        <v>135</v>
      </c>
      <c r="D62" t="s">
        <v>320</v>
      </c>
      <c r="E62" t="s">
        <v>13</v>
      </c>
      <c r="F62" t="s">
        <v>12</v>
      </c>
      <c r="G62" t="s">
        <v>13</v>
      </c>
      <c r="H62" t="s">
        <v>13</v>
      </c>
      <c r="J62" t="s">
        <v>17</v>
      </c>
      <c r="K62" t="s">
        <v>10</v>
      </c>
      <c r="L62" t="s">
        <v>135</v>
      </c>
      <c r="M62" t="s">
        <v>136</v>
      </c>
      <c r="N62" t="s">
        <v>13</v>
      </c>
      <c r="O62" t="s">
        <v>12</v>
      </c>
      <c r="P62" t="s">
        <v>13</v>
      </c>
      <c r="Q62" t="s">
        <v>13</v>
      </c>
      <c r="T62" s="4" t="s">
        <v>264</v>
      </c>
      <c r="U62" t="s">
        <v>315</v>
      </c>
      <c r="V62" t="str">
        <f t="shared" si="4"/>
        <v>Fxd Infr o/prem - Mandatory migration</v>
      </c>
      <c r="W62">
        <f t="shared" si="5"/>
        <v>37</v>
      </c>
    </row>
    <row r="63" spans="1:23" x14ac:dyDescent="0.25">
      <c r="A63" t="s">
        <v>17</v>
      </c>
      <c r="B63" t="s">
        <v>10</v>
      </c>
      <c r="C63" t="s">
        <v>137</v>
      </c>
      <c r="D63" t="s">
        <v>321</v>
      </c>
      <c r="E63" t="s">
        <v>13</v>
      </c>
      <c r="F63" t="s">
        <v>12</v>
      </c>
      <c r="G63" t="s">
        <v>13</v>
      </c>
      <c r="H63" t="s">
        <v>13</v>
      </c>
      <c r="J63" t="s">
        <v>17</v>
      </c>
      <c r="K63" t="s">
        <v>10</v>
      </c>
      <c r="L63" t="s">
        <v>137</v>
      </c>
      <c r="M63" t="s">
        <v>138</v>
      </c>
      <c r="N63" t="s">
        <v>13</v>
      </c>
      <c r="O63" t="s">
        <v>12</v>
      </c>
      <c r="P63" t="s">
        <v>13</v>
      </c>
      <c r="Q63" t="s">
        <v>13</v>
      </c>
      <c r="T63" s="4" t="s">
        <v>266</v>
      </c>
      <c r="U63" t="s">
        <v>315</v>
      </c>
      <c r="V63" t="str">
        <f t="shared" si="4"/>
        <v>Fxd Infr o/prem - New Generation FE Product</v>
      </c>
      <c r="W63">
        <f t="shared" si="5"/>
        <v>43</v>
      </c>
    </row>
    <row r="64" spans="1:23" x14ac:dyDescent="0.25">
      <c r="A64" t="s">
        <v>17</v>
      </c>
      <c r="B64" t="s">
        <v>10</v>
      </c>
      <c r="C64" t="s">
        <v>139</v>
      </c>
      <c r="D64" t="s">
        <v>322</v>
      </c>
      <c r="E64" t="s">
        <v>13</v>
      </c>
      <c r="F64" t="s">
        <v>12</v>
      </c>
      <c r="G64" t="s">
        <v>13</v>
      </c>
      <c r="H64" t="s">
        <v>13</v>
      </c>
      <c r="J64" t="s">
        <v>17</v>
      </c>
      <c r="K64" t="s">
        <v>10</v>
      </c>
      <c r="L64" t="s">
        <v>139</v>
      </c>
      <c r="M64" t="s">
        <v>140</v>
      </c>
      <c r="N64" t="s">
        <v>13</v>
      </c>
      <c r="O64" t="s">
        <v>12</v>
      </c>
      <c r="P64" t="s">
        <v>13</v>
      </c>
      <c r="Q64" t="s">
        <v>13</v>
      </c>
      <c r="T64" s="4" t="s">
        <v>268</v>
      </c>
      <c r="U64" t="s">
        <v>315</v>
      </c>
      <c r="V64" t="str">
        <f t="shared" si="4"/>
        <v>Fxd Infr o/prem - Operational efficiency</v>
      </c>
      <c r="W64">
        <f t="shared" si="5"/>
        <v>40</v>
      </c>
    </row>
    <row r="65" spans="1:23" x14ac:dyDescent="0.25">
      <c r="A65" t="s">
        <v>17</v>
      </c>
      <c r="B65" t="s">
        <v>10</v>
      </c>
      <c r="C65" t="s">
        <v>141</v>
      </c>
      <c r="D65" t="s">
        <v>323</v>
      </c>
      <c r="E65" t="s">
        <v>13</v>
      </c>
      <c r="F65" t="s">
        <v>12</v>
      </c>
      <c r="G65" t="s">
        <v>13</v>
      </c>
      <c r="H65" t="s">
        <v>13</v>
      </c>
      <c r="J65" t="s">
        <v>17</v>
      </c>
      <c r="K65" t="s">
        <v>10</v>
      </c>
      <c r="L65" t="s">
        <v>141</v>
      </c>
      <c r="M65" t="s">
        <v>142</v>
      </c>
      <c r="N65" t="s">
        <v>13</v>
      </c>
      <c r="O65" t="s">
        <v>12</v>
      </c>
      <c r="P65" t="s">
        <v>13</v>
      </c>
      <c r="Q65" t="s">
        <v>13</v>
      </c>
      <c r="T65" s="4" t="s">
        <v>270</v>
      </c>
      <c r="U65" t="s">
        <v>315</v>
      </c>
      <c r="V65" t="str">
        <f t="shared" si="4"/>
        <v>Fxd Infr o/prem - Player experience</v>
      </c>
      <c r="W65">
        <f t="shared" si="5"/>
        <v>35</v>
      </c>
    </row>
    <row r="66" spans="1:23" x14ac:dyDescent="0.25">
      <c r="A66" t="s">
        <v>17</v>
      </c>
      <c r="B66" t="s">
        <v>10</v>
      </c>
      <c r="C66" t="s">
        <v>143</v>
      </c>
      <c r="D66" t="s">
        <v>324</v>
      </c>
      <c r="E66" t="s">
        <v>13</v>
      </c>
      <c r="F66" t="s">
        <v>12</v>
      </c>
      <c r="G66" t="s">
        <v>13</v>
      </c>
      <c r="H66" t="s">
        <v>13</v>
      </c>
      <c r="J66" t="s">
        <v>17</v>
      </c>
      <c r="K66" t="s">
        <v>10</v>
      </c>
      <c r="L66" t="s">
        <v>143</v>
      </c>
      <c r="M66" t="s">
        <v>144</v>
      </c>
      <c r="N66" t="s">
        <v>13</v>
      </c>
      <c r="O66" t="s">
        <v>12</v>
      </c>
      <c r="P66" t="s">
        <v>13</v>
      </c>
      <c r="Q66" t="s">
        <v>13</v>
      </c>
      <c r="T66" s="4" t="s">
        <v>272</v>
      </c>
      <c r="U66" t="s">
        <v>315</v>
      </c>
      <c r="V66" t="str">
        <f t="shared" si="4"/>
        <v>Fxd Infr o/prem - Player journey</v>
      </c>
      <c r="W66">
        <f t="shared" si="5"/>
        <v>32</v>
      </c>
    </row>
    <row r="67" spans="1:23" x14ac:dyDescent="0.25">
      <c r="A67" t="s">
        <v>17</v>
      </c>
      <c r="B67" t="s">
        <v>10</v>
      </c>
      <c r="C67" t="s">
        <v>145</v>
      </c>
      <c r="D67" t="s">
        <v>325</v>
      </c>
      <c r="E67" t="s">
        <v>13</v>
      </c>
      <c r="F67" t="s">
        <v>12</v>
      </c>
      <c r="G67" t="s">
        <v>13</v>
      </c>
      <c r="H67" t="s">
        <v>13</v>
      </c>
      <c r="J67" t="s">
        <v>17</v>
      </c>
      <c r="K67" t="s">
        <v>10</v>
      </c>
      <c r="L67" t="s">
        <v>145</v>
      </c>
      <c r="M67" t="s">
        <v>146</v>
      </c>
      <c r="N67" t="s">
        <v>13</v>
      </c>
      <c r="O67" t="s">
        <v>12</v>
      </c>
      <c r="P67" t="s">
        <v>13</v>
      </c>
      <c r="Q67" t="s">
        <v>13</v>
      </c>
      <c r="T67" s="4" t="s">
        <v>274</v>
      </c>
      <c r="U67" t="s">
        <v>315</v>
      </c>
      <c r="V67" t="str">
        <f t="shared" si="4"/>
        <v>Fxd Infr o/prem - Player Tracking</v>
      </c>
      <c r="W67">
        <f t="shared" si="5"/>
        <v>33</v>
      </c>
    </row>
    <row r="68" spans="1:23" x14ac:dyDescent="0.25">
      <c r="A68" t="s">
        <v>17</v>
      </c>
      <c r="B68" t="s">
        <v>10</v>
      </c>
      <c r="C68" t="s">
        <v>147</v>
      </c>
      <c r="D68" t="s">
        <v>326</v>
      </c>
      <c r="E68" t="s">
        <v>13</v>
      </c>
      <c r="F68" t="s">
        <v>12</v>
      </c>
      <c r="G68" t="s">
        <v>13</v>
      </c>
      <c r="H68" t="s">
        <v>13</v>
      </c>
      <c r="J68" t="s">
        <v>17</v>
      </c>
      <c r="K68" t="s">
        <v>10</v>
      </c>
      <c r="L68" t="s">
        <v>147</v>
      </c>
      <c r="M68" t="s">
        <v>148</v>
      </c>
      <c r="N68" t="s">
        <v>13</v>
      </c>
      <c r="O68" t="s">
        <v>12</v>
      </c>
      <c r="P68" t="s">
        <v>13</v>
      </c>
      <c r="Q68" t="s">
        <v>13</v>
      </c>
      <c r="T68" s="4" t="s">
        <v>276</v>
      </c>
      <c r="U68" t="s">
        <v>315</v>
      </c>
      <c r="V68" t="str">
        <f t="shared" si="4"/>
        <v>Fxd Infr o/prem - Product improvement</v>
      </c>
      <c r="W68">
        <f t="shared" si="5"/>
        <v>37</v>
      </c>
    </row>
    <row r="69" spans="1:23" x14ac:dyDescent="0.25">
      <c r="A69" t="s">
        <v>17</v>
      </c>
      <c r="B69" t="s">
        <v>10</v>
      </c>
      <c r="C69" t="s">
        <v>149</v>
      </c>
      <c r="D69" t="s">
        <v>327</v>
      </c>
      <c r="E69" t="s">
        <v>13</v>
      </c>
      <c r="F69" t="s">
        <v>12</v>
      </c>
      <c r="G69" t="s">
        <v>13</v>
      </c>
      <c r="H69" t="s">
        <v>13</v>
      </c>
      <c r="J69" t="s">
        <v>17</v>
      </c>
      <c r="K69" t="s">
        <v>10</v>
      </c>
      <c r="L69" t="s">
        <v>149</v>
      </c>
      <c r="M69" t="s">
        <v>150</v>
      </c>
      <c r="N69" t="s">
        <v>13</v>
      </c>
      <c r="O69" t="s">
        <v>12</v>
      </c>
      <c r="P69" t="s">
        <v>13</v>
      </c>
      <c r="Q69" t="s">
        <v>13</v>
      </c>
      <c r="T69" s="4" t="s">
        <v>278</v>
      </c>
      <c r="U69" t="s">
        <v>315</v>
      </c>
      <c r="V69" t="str">
        <f t="shared" si="4"/>
        <v>Fxd Infr o/prem - Productization</v>
      </c>
      <c r="W69">
        <f t="shared" si="5"/>
        <v>32</v>
      </c>
    </row>
    <row r="70" spans="1:23" x14ac:dyDescent="0.25">
      <c r="A70" t="s">
        <v>17</v>
      </c>
      <c r="B70" t="s">
        <v>10</v>
      </c>
      <c r="C70" t="s">
        <v>151</v>
      </c>
      <c r="D70" t="s">
        <v>328</v>
      </c>
      <c r="E70" t="s">
        <v>13</v>
      </c>
      <c r="F70" t="s">
        <v>12</v>
      </c>
      <c r="G70" t="s">
        <v>13</v>
      </c>
      <c r="H70" t="s">
        <v>13</v>
      </c>
      <c r="J70" t="s">
        <v>17</v>
      </c>
      <c r="K70" t="s">
        <v>10</v>
      </c>
      <c r="L70" t="s">
        <v>151</v>
      </c>
      <c r="M70" t="s">
        <v>152</v>
      </c>
      <c r="N70" t="s">
        <v>13</v>
      </c>
      <c r="O70" t="s">
        <v>12</v>
      </c>
      <c r="P70" t="s">
        <v>13</v>
      </c>
      <c r="Q70" t="s">
        <v>13</v>
      </c>
      <c r="T70" s="4" t="s">
        <v>280</v>
      </c>
      <c r="U70" t="s">
        <v>315</v>
      </c>
      <c r="V70" t="str">
        <f t="shared" si="4"/>
        <v>Fxd Infr o/prem - Regulatory</v>
      </c>
      <c r="W70">
        <f t="shared" si="5"/>
        <v>28</v>
      </c>
    </row>
    <row r="71" spans="1:23" x14ac:dyDescent="0.25">
      <c r="A71" t="s">
        <v>17</v>
      </c>
      <c r="B71" t="s">
        <v>10</v>
      </c>
      <c r="C71" t="s">
        <v>153</v>
      </c>
      <c r="D71" t="s">
        <v>329</v>
      </c>
      <c r="E71" t="s">
        <v>13</v>
      </c>
      <c r="F71" t="s">
        <v>12</v>
      </c>
      <c r="G71" t="s">
        <v>13</v>
      </c>
      <c r="H71" t="s">
        <v>13</v>
      </c>
      <c r="J71" t="s">
        <v>17</v>
      </c>
      <c r="K71" t="s">
        <v>10</v>
      </c>
      <c r="L71" t="s">
        <v>153</v>
      </c>
      <c r="M71" t="s">
        <v>154</v>
      </c>
      <c r="N71" t="s">
        <v>13</v>
      </c>
      <c r="O71" t="s">
        <v>12</v>
      </c>
      <c r="P71" t="s">
        <v>13</v>
      </c>
      <c r="Q71" t="s">
        <v>13</v>
      </c>
      <c r="T71" s="4" t="s">
        <v>282</v>
      </c>
      <c r="U71" t="s">
        <v>315</v>
      </c>
      <c r="V71" t="str">
        <f t="shared" si="4"/>
        <v>Fxd Infr o/prem - Reporting</v>
      </c>
      <c r="W71">
        <f t="shared" si="5"/>
        <v>27</v>
      </c>
    </row>
    <row r="72" spans="1:23" x14ac:dyDescent="0.25">
      <c r="A72" t="s">
        <v>17</v>
      </c>
      <c r="B72" t="s">
        <v>10</v>
      </c>
      <c r="C72" t="s">
        <v>155</v>
      </c>
      <c r="D72" t="s">
        <v>330</v>
      </c>
      <c r="E72" t="s">
        <v>13</v>
      </c>
      <c r="F72" t="s">
        <v>12</v>
      </c>
      <c r="G72" t="s">
        <v>13</v>
      </c>
      <c r="H72" t="s">
        <v>13</v>
      </c>
      <c r="J72" t="s">
        <v>17</v>
      </c>
      <c r="K72" t="s">
        <v>10</v>
      </c>
      <c r="L72" t="s">
        <v>155</v>
      </c>
      <c r="M72" t="s">
        <v>156</v>
      </c>
      <c r="N72" t="s">
        <v>13</v>
      </c>
      <c r="O72" t="s">
        <v>12</v>
      </c>
      <c r="P72" t="s">
        <v>13</v>
      </c>
      <c r="Q72" t="s">
        <v>13</v>
      </c>
      <c r="T72" s="4" t="s">
        <v>284</v>
      </c>
      <c r="U72" t="s">
        <v>315</v>
      </c>
      <c r="V72" t="str">
        <f t="shared" si="4"/>
        <v>Fxd Infr o/prem - Responsible Gaming</v>
      </c>
      <c r="W72">
        <f t="shared" si="5"/>
        <v>36</v>
      </c>
    </row>
    <row r="73" spans="1:23" x14ac:dyDescent="0.25">
      <c r="A73" t="s">
        <v>17</v>
      </c>
      <c r="B73" t="s">
        <v>10</v>
      </c>
      <c r="C73" t="s">
        <v>157</v>
      </c>
      <c r="D73" t="s">
        <v>331</v>
      </c>
      <c r="E73" t="s">
        <v>13</v>
      </c>
      <c r="F73" t="s">
        <v>12</v>
      </c>
      <c r="G73" t="s">
        <v>13</v>
      </c>
      <c r="H73" t="s">
        <v>13</v>
      </c>
      <c r="J73" t="s">
        <v>17</v>
      </c>
      <c r="K73" t="s">
        <v>10</v>
      </c>
      <c r="L73" t="s">
        <v>157</v>
      </c>
      <c r="M73" t="s">
        <v>158</v>
      </c>
      <c r="N73" t="s">
        <v>13</v>
      </c>
      <c r="O73" t="s">
        <v>12</v>
      </c>
      <c r="P73" t="s">
        <v>13</v>
      </c>
      <c r="Q73" t="s">
        <v>13</v>
      </c>
      <c r="T73" s="4" t="s">
        <v>286</v>
      </c>
      <c r="U73" t="s">
        <v>315</v>
      </c>
      <c r="V73" t="str">
        <f t="shared" si="4"/>
        <v>Fxd Infr o/prem - Security</v>
      </c>
      <c r="W73">
        <f t="shared" si="5"/>
        <v>26</v>
      </c>
    </row>
    <row r="74" spans="1:23" x14ac:dyDescent="0.25">
      <c r="A74" t="s">
        <v>17</v>
      </c>
      <c r="B74" t="s">
        <v>10</v>
      </c>
      <c r="C74" t="s">
        <v>159</v>
      </c>
      <c r="D74" t="s">
        <v>332</v>
      </c>
      <c r="E74" t="s">
        <v>13</v>
      </c>
      <c r="F74" t="s">
        <v>12</v>
      </c>
      <c r="G74" t="s">
        <v>13</v>
      </c>
      <c r="H74" t="s">
        <v>13</v>
      </c>
      <c r="J74" t="s">
        <v>17</v>
      </c>
      <c r="K74" t="s">
        <v>10</v>
      </c>
      <c r="L74" t="s">
        <v>159</v>
      </c>
      <c r="M74" t="s">
        <v>160</v>
      </c>
      <c r="N74" t="s">
        <v>13</v>
      </c>
      <c r="O74" t="s">
        <v>12</v>
      </c>
      <c r="P74" t="s">
        <v>13</v>
      </c>
      <c r="Q74" t="s">
        <v>13</v>
      </c>
      <c r="T74" s="4" t="s">
        <v>288</v>
      </c>
      <c r="U74" t="s">
        <v>315</v>
      </c>
      <c r="V74" t="str">
        <f t="shared" si="4"/>
        <v>Fxd Infr o/prem - Upsell</v>
      </c>
      <c r="W74">
        <f t="shared" si="5"/>
        <v>24</v>
      </c>
    </row>
    <row r="75" spans="1:23" x14ac:dyDescent="0.25">
      <c r="A75" t="s">
        <v>17</v>
      </c>
      <c r="B75" t="s">
        <v>10</v>
      </c>
      <c r="C75" t="s">
        <v>161</v>
      </c>
      <c r="D75" t="s">
        <v>333</v>
      </c>
      <c r="E75" t="s">
        <v>13</v>
      </c>
      <c r="F75" t="s">
        <v>12</v>
      </c>
      <c r="G75" t="s">
        <v>13</v>
      </c>
      <c r="H75" t="s">
        <v>13</v>
      </c>
      <c r="J75" t="s">
        <v>17</v>
      </c>
      <c r="K75" t="s">
        <v>10</v>
      </c>
      <c r="L75" t="s">
        <v>161</v>
      </c>
      <c r="M75" t="s">
        <v>162</v>
      </c>
      <c r="N75" t="s">
        <v>13</v>
      </c>
      <c r="O75" t="s">
        <v>12</v>
      </c>
      <c r="P75" t="s">
        <v>13</v>
      </c>
      <c r="Q75" t="s">
        <v>13</v>
      </c>
      <c r="T75" s="4" t="s">
        <v>290</v>
      </c>
      <c r="U75" t="s">
        <v>315</v>
      </c>
      <c r="V75" t="str">
        <f t="shared" si="4"/>
        <v xml:space="preserve">Fxd Infr o/prem - Stand Alone Draw Engine </v>
      </c>
      <c r="W75">
        <f t="shared" si="5"/>
        <v>42</v>
      </c>
    </row>
    <row r="76" spans="1:23" x14ac:dyDescent="0.25">
      <c r="A76" t="s">
        <v>17</v>
      </c>
      <c r="B76" t="s">
        <v>10</v>
      </c>
      <c r="C76" t="s">
        <v>163</v>
      </c>
      <c r="D76" t="s">
        <v>334</v>
      </c>
      <c r="E76" t="s">
        <v>13</v>
      </c>
      <c r="F76" t="s">
        <v>12</v>
      </c>
      <c r="G76" t="s">
        <v>13</v>
      </c>
      <c r="H76" t="s">
        <v>13</v>
      </c>
      <c r="J76" t="s">
        <v>17</v>
      </c>
      <c r="K76" t="s">
        <v>10</v>
      </c>
      <c r="L76" t="s">
        <v>163</v>
      </c>
      <c r="M76" t="s">
        <v>164</v>
      </c>
      <c r="N76" t="s">
        <v>13</v>
      </c>
      <c r="O76" t="s">
        <v>12</v>
      </c>
      <c r="P76" t="s">
        <v>13</v>
      </c>
      <c r="Q76" t="s">
        <v>13</v>
      </c>
      <c r="T76" s="4" t="s">
        <v>292</v>
      </c>
      <c r="U76" t="s">
        <v>315</v>
      </c>
      <c r="V76" t="str">
        <f t="shared" si="4"/>
        <v>Fxd Infr o/prem - Connected Play</v>
      </c>
      <c r="W76">
        <f t="shared" si="5"/>
        <v>32</v>
      </c>
    </row>
    <row r="77" spans="1:23" x14ac:dyDescent="0.25">
      <c r="A77" t="s">
        <v>14</v>
      </c>
      <c r="B77" t="s">
        <v>10</v>
      </c>
      <c r="C77" t="s">
        <v>165</v>
      </c>
      <c r="D77" t="s">
        <v>166</v>
      </c>
      <c r="E77" t="s">
        <v>12</v>
      </c>
      <c r="F77" t="s">
        <v>13</v>
      </c>
      <c r="G77" t="s">
        <v>13</v>
      </c>
      <c r="H77" t="s">
        <v>13</v>
      </c>
      <c r="J77" t="s">
        <v>14</v>
      </c>
      <c r="K77" t="s">
        <v>10</v>
      </c>
      <c r="L77" t="s">
        <v>165</v>
      </c>
      <c r="M77" t="s">
        <v>166</v>
      </c>
      <c r="N77" t="s">
        <v>12</v>
      </c>
      <c r="O77" t="s">
        <v>13</v>
      </c>
      <c r="P77" t="s">
        <v>13</v>
      </c>
      <c r="Q77" t="s">
        <v>13</v>
      </c>
    </row>
    <row r="78" spans="1:23" x14ac:dyDescent="0.25">
      <c r="A78" s="3" t="s">
        <v>17</v>
      </c>
      <c r="B78" s="3" t="s">
        <v>10</v>
      </c>
      <c r="C78" s="3" t="s">
        <v>167</v>
      </c>
      <c r="D78" s="3" t="s">
        <v>335</v>
      </c>
      <c r="E78" s="3" t="s">
        <v>13</v>
      </c>
      <c r="F78" s="3" t="s">
        <v>12</v>
      </c>
      <c r="G78" s="3" t="s">
        <v>12</v>
      </c>
      <c r="H78" s="3" t="s">
        <v>13</v>
      </c>
      <c r="J78" s="3" t="s">
        <v>17</v>
      </c>
      <c r="K78" s="3" t="s">
        <v>10</v>
      </c>
      <c r="L78" s="3" t="s">
        <v>167</v>
      </c>
      <c r="M78" s="3" t="s">
        <v>168</v>
      </c>
      <c r="N78" s="3" t="s">
        <v>13</v>
      </c>
      <c r="O78" s="3" t="s">
        <v>12</v>
      </c>
      <c r="P78" s="3" t="s">
        <v>12</v>
      </c>
      <c r="Q78" s="3" t="s">
        <v>13</v>
      </c>
      <c r="T78" s="4" t="s">
        <v>253</v>
      </c>
      <c r="U78" t="s">
        <v>336</v>
      </c>
      <c r="V78" t="str">
        <f>CONCATENATE(U78," -",T78)</f>
        <v>Infr Supp - Non CAPEX Features</v>
      </c>
      <c r="W78">
        <f>LEN(V78)</f>
        <v>30</v>
      </c>
    </row>
    <row r="79" spans="1:23" x14ac:dyDescent="0.25">
      <c r="A79" s="3" t="s">
        <v>17</v>
      </c>
      <c r="B79" s="3" t="s">
        <v>10</v>
      </c>
      <c r="C79" s="3" t="s">
        <v>170</v>
      </c>
      <c r="D79" s="3" t="s">
        <v>337</v>
      </c>
      <c r="E79" s="3" t="s">
        <v>13</v>
      </c>
      <c r="F79" s="3" t="s">
        <v>12</v>
      </c>
      <c r="G79" s="3" t="s">
        <v>12</v>
      </c>
      <c r="H79" s="3" t="s">
        <v>13</v>
      </c>
      <c r="J79" s="3" t="s">
        <v>17</v>
      </c>
      <c r="K79" s="3" t="s">
        <v>10</v>
      </c>
      <c r="L79" s="3" t="s">
        <v>170</v>
      </c>
      <c r="M79" s="3" t="s">
        <v>171</v>
      </c>
      <c r="N79" s="3" t="s">
        <v>13</v>
      </c>
      <c r="O79" s="3" t="s">
        <v>12</v>
      </c>
      <c r="P79" s="3" t="s">
        <v>12</v>
      </c>
      <c r="Q79" s="3" t="s">
        <v>13</v>
      </c>
      <c r="T79" s="4" t="s">
        <v>256</v>
      </c>
      <c r="U79" t="s">
        <v>336</v>
      </c>
      <c r="V79" t="str">
        <f t="shared" ref="V79:V97" si="6">CONCATENATE(U79," -",T79)</f>
        <v>Infr Supp - Compliance</v>
      </c>
      <c r="W79">
        <f t="shared" ref="W79:W97" si="7">LEN(V79)</f>
        <v>22</v>
      </c>
    </row>
    <row r="80" spans="1:23" x14ac:dyDescent="0.25">
      <c r="A80" s="3" t="s">
        <v>17</v>
      </c>
      <c r="B80" s="3" t="s">
        <v>10</v>
      </c>
      <c r="C80" s="3" t="s">
        <v>172</v>
      </c>
      <c r="D80" s="3" t="s">
        <v>338</v>
      </c>
      <c r="E80" s="3" t="s">
        <v>13</v>
      </c>
      <c r="F80" s="3" t="s">
        <v>12</v>
      </c>
      <c r="G80" s="3" t="s">
        <v>12</v>
      </c>
      <c r="H80" s="3" t="s">
        <v>13</v>
      </c>
      <c r="J80" s="3" t="s">
        <v>17</v>
      </c>
      <c r="K80" s="3" t="s">
        <v>10</v>
      </c>
      <c r="L80" s="3" t="s">
        <v>172</v>
      </c>
      <c r="M80" s="3" t="s">
        <v>173</v>
      </c>
      <c r="N80" s="3" t="s">
        <v>13</v>
      </c>
      <c r="O80" s="3" t="s">
        <v>12</v>
      </c>
      <c r="P80" s="3" t="s">
        <v>12</v>
      </c>
      <c r="Q80" s="3" t="s">
        <v>13</v>
      </c>
      <c r="T80" s="4" t="s">
        <v>258</v>
      </c>
      <c r="U80" t="s">
        <v>336</v>
      </c>
      <c r="V80" t="str">
        <f t="shared" si="6"/>
        <v>Infr Supp - Content Management</v>
      </c>
      <c r="W80">
        <f t="shared" si="7"/>
        <v>30</v>
      </c>
    </row>
    <row r="81" spans="1:23" x14ac:dyDescent="0.25">
      <c r="A81" s="3" t="s">
        <v>17</v>
      </c>
      <c r="B81" s="3" t="s">
        <v>10</v>
      </c>
      <c r="C81" s="3" t="s">
        <v>174</v>
      </c>
      <c r="D81" s="3" t="s">
        <v>339</v>
      </c>
      <c r="E81" s="3" t="s">
        <v>13</v>
      </c>
      <c r="F81" s="3" t="s">
        <v>12</v>
      </c>
      <c r="G81" s="3" t="s">
        <v>12</v>
      </c>
      <c r="H81" s="3" t="s">
        <v>13</v>
      </c>
      <c r="J81" s="3" t="s">
        <v>17</v>
      </c>
      <c r="K81" s="3" t="s">
        <v>10</v>
      </c>
      <c r="L81" s="3" t="s">
        <v>174</v>
      </c>
      <c r="M81" s="3" t="s">
        <v>175</v>
      </c>
      <c r="N81" s="3" t="s">
        <v>13</v>
      </c>
      <c r="O81" s="3" t="s">
        <v>12</v>
      </c>
      <c r="P81" s="3" t="s">
        <v>12</v>
      </c>
      <c r="Q81" s="3" t="s">
        <v>13</v>
      </c>
      <c r="T81" s="4" t="s">
        <v>260</v>
      </c>
      <c r="U81" t="s">
        <v>336</v>
      </c>
      <c r="V81" t="str">
        <f t="shared" si="6"/>
        <v>Infr Supp - Cost optimization</v>
      </c>
      <c r="W81">
        <f t="shared" si="7"/>
        <v>29</v>
      </c>
    </row>
    <row r="82" spans="1:23" x14ac:dyDescent="0.25">
      <c r="A82" s="3" t="s">
        <v>17</v>
      </c>
      <c r="B82" s="3" t="s">
        <v>10</v>
      </c>
      <c r="C82" s="3" t="s">
        <v>176</v>
      </c>
      <c r="D82" s="3" t="s">
        <v>340</v>
      </c>
      <c r="E82" s="3" t="s">
        <v>13</v>
      </c>
      <c r="F82" s="3" t="s">
        <v>12</v>
      </c>
      <c r="G82" s="3" t="s">
        <v>12</v>
      </c>
      <c r="H82" s="3" t="s">
        <v>13</v>
      </c>
      <c r="J82" s="3" t="s">
        <v>17</v>
      </c>
      <c r="K82" s="3" t="s">
        <v>10</v>
      </c>
      <c r="L82" s="3" t="s">
        <v>176</v>
      </c>
      <c r="M82" s="3" t="s">
        <v>177</v>
      </c>
      <c r="N82" s="3" t="s">
        <v>13</v>
      </c>
      <c r="O82" s="3" t="s">
        <v>12</v>
      </c>
      <c r="P82" s="3" t="s">
        <v>12</v>
      </c>
      <c r="Q82" s="3" t="s">
        <v>13</v>
      </c>
      <c r="T82" s="4" t="s">
        <v>262</v>
      </c>
      <c r="U82" t="s">
        <v>336</v>
      </c>
      <c r="V82" t="str">
        <f t="shared" si="6"/>
        <v>Infr Supp - Game integration</v>
      </c>
      <c r="W82">
        <f t="shared" si="7"/>
        <v>28</v>
      </c>
    </row>
    <row r="83" spans="1:23" x14ac:dyDescent="0.25">
      <c r="A83" s="3" t="s">
        <v>17</v>
      </c>
      <c r="B83" s="3" t="s">
        <v>10</v>
      </c>
      <c r="C83" s="3" t="s">
        <v>178</v>
      </c>
      <c r="D83" s="3" t="s">
        <v>341</v>
      </c>
      <c r="E83" s="3" t="s">
        <v>13</v>
      </c>
      <c r="F83" s="3" t="s">
        <v>12</v>
      </c>
      <c r="G83" s="3" t="s">
        <v>12</v>
      </c>
      <c r="H83" s="3" t="s">
        <v>13</v>
      </c>
      <c r="J83" s="3" t="s">
        <v>17</v>
      </c>
      <c r="K83" s="3" t="s">
        <v>10</v>
      </c>
      <c r="L83" s="3" t="s">
        <v>178</v>
      </c>
      <c r="M83" s="3" t="s">
        <v>179</v>
      </c>
      <c r="N83" s="3" t="s">
        <v>13</v>
      </c>
      <c r="O83" s="3" t="s">
        <v>12</v>
      </c>
      <c r="P83" s="3" t="s">
        <v>12</v>
      </c>
      <c r="Q83" s="3" t="s">
        <v>13</v>
      </c>
      <c r="T83" s="4" t="s">
        <v>264</v>
      </c>
      <c r="U83" t="s">
        <v>336</v>
      </c>
      <c r="V83" t="str">
        <f t="shared" si="6"/>
        <v>Infr Supp - Mandatory migration</v>
      </c>
      <c r="W83">
        <f t="shared" si="7"/>
        <v>31</v>
      </c>
    </row>
    <row r="84" spans="1:23" x14ac:dyDescent="0.25">
      <c r="A84" s="3" t="s">
        <v>17</v>
      </c>
      <c r="B84" s="3" t="s">
        <v>10</v>
      </c>
      <c r="C84" s="3" t="s">
        <v>180</v>
      </c>
      <c r="D84" s="3" t="s">
        <v>342</v>
      </c>
      <c r="E84" s="3" t="s">
        <v>13</v>
      </c>
      <c r="F84" s="3" t="s">
        <v>12</v>
      </c>
      <c r="G84" s="3" t="s">
        <v>12</v>
      </c>
      <c r="H84" s="3" t="s">
        <v>13</v>
      </c>
      <c r="J84" s="3" t="s">
        <v>17</v>
      </c>
      <c r="K84" s="3" t="s">
        <v>10</v>
      </c>
      <c r="L84" s="3" t="s">
        <v>180</v>
      </c>
      <c r="M84" s="3" t="s">
        <v>181</v>
      </c>
      <c r="N84" s="3" t="s">
        <v>13</v>
      </c>
      <c r="O84" s="3" t="s">
        <v>12</v>
      </c>
      <c r="P84" s="3" t="s">
        <v>12</v>
      </c>
      <c r="Q84" s="3" t="s">
        <v>13</v>
      </c>
      <c r="T84" s="4" t="s">
        <v>266</v>
      </c>
      <c r="U84" t="s">
        <v>336</v>
      </c>
      <c r="V84" t="str">
        <f t="shared" si="6"/>
        <v>Infr Supp - New Generation FE Product</v>
      </c>
      <c r="W84">
        <f t="shared" si="7"/>
        <v>37</v>
      </c>
    </row>
    <row r="85" spans="1:23" x14ac:dyDescent="0.25">
      <c r="A85" s="3" t="s">
        <v>17</v>
      </c>
      <c r="B85" s="3" t="s">
        <v>10</v>
      </c>
      <c r="C85" s="3" t="s">
        <v>182</v>
      </c>
      <c r="D85" s="3" t="s">
        <v>343</v>
      </c>
      <c r="E85" s="3" t="s">
        <v>13</v>
      </c>
      <c r="F85" s="3" t="s">
        <v>12</v>
      </c>
      <c r="G85" s="3" t="s">
        <v>12</v>
      </c>
      <c r="H85" s="3" t="s">
        <v>13</v>
      </c>
      <c r="J85" s="3" t="s">
        <v>17</v>
      </c>
      <c r="K85" s="3" t="s">
        <v>10</v>
      </c>
      <c r="L85" s="3" t="s">
        <v>182</v>
      </c>
      <c r="M85" s="3" t="s">
        <v>183</v>
      </c>
      <c r="N85" s="3" t="s">
        <v>13</v>
      </c>
      <c r="O85" s="3" t="s">
        <v>12</v>
      </c>
      <c r="P85" s="3" t="s">
        <v>12</v>
      </c>
      <c r="Q85" s="3" t="s">
        <v>13</v>
      </c>
      <c r="T85" s="4" t="s">
        <v>268</v>
      </c>
      <c r="U85" t="s">
        <v>336</v>
      </c>
      <c r="V85" t="str">
        <f t="shared" si="6"/>
        <v>Infr Supp - Operational efficiency</v>
      </c>
      <c r="W85">
        <f t="shared" si="7"/>
        <v>34</v>
      </c>
    </row>
    <row r="86" spans="1:23" x14ac:dyDescent="0.25">
      <c r="A86" s="3" t="s">
        <v>17</v>
      </c>
      <c r="B86" s="3" t="s">
        <v>10</v>
      </c>
      <c r="C86" s="3" t="s">
        <v>184</v>
      </c>
      <c r="D86" s="3" t="s">
        <v>344</v>
      </c>
      <c r="E86" s="3" t="s">
        <v>13</v>
      </c>
      <c r="F86" s="3" t="s">
        <v>12</v>
      </c>
      <c r="G86" s="3" t="s">
        <v>12</v>
      </c>
      <c r="H86" s="3" t="s">
        <v>13</v>
      </c>
      <c r="J86" s="3" t="s">
        <v>17</v>
      </c>
      <c r="K86" s="3" t="s">
        <v>10</v>
      </c>
      <c r="L86" s="3" t="s">
        <v>184</v>
      </c>
      <c r="M86" s="3" t="s">
        <v>185</v>
      </c>
      <c r="N86" s="3" t="s">
        <v>13</v>
      </c>
      <c r="O86" s="3" t="s">
        <v>12</v>
      </c>
      <c r="P86" s="3" t="s">
        <v>12</v>
      </c>
      <c r="Q86" s="3" t="s">
        <v>13</v>
      </c>
      <c r="T86" s="4" t="s">
        <v>270</v>
      </c>
      <c r="U86" t="s">
        <v>336</v>
      </c>
      <c r="V86" t="str">
        <f t="shared" si="6"/>
        <v>Infr Supp - Player experience</v>
      </c>
      <c r="W86">
        <f t="shared" si="7"/>
        <v>29</v>
      </c>
    </row>
    <row r="87" spans="1:23" x14ac:dyDescent="0.25">
      <c r="A87" s="3" t="s">
        <v>17</v>
      </c>
      <c r="B87" s="3" t="s">
        <v>10</v>
      </c>
      <c r="C87" s="3" t="s">
        <v>186</v>
      </c>
      <c r="D87" s="3" t="s">
        <v>345</v>
      </c>
      <c r="E87" s="3" t="s">
        <v>13</v>
      </c>
      <c r="F87" s="3" t="s">
        <v>12</v>
      </c>
      <c r="G87" s="3" t="s">
        <v>12</v>
      </c>
      <c r="H87" s="3" t="s">
        <v>13</v>
      </c>
      <c r="J87" s="3" t="s">
        <v>17</v>
      </c>
      <c r="K87" s="3" t="s">
        <v>10</v>
      </c>
      <c r="L87" s="3" t="s">
        <v>186</v>
      </c>
      <c r="M87" s="3" t="s">
        <v>187</v>
      </c>
      <c r="N87" s="3" t="s">
        <v>13</v>
      </c>
      <c r="O87" s="3" t="s">
        <v>12</v>
      </c>
      <c r="P87" s="3" t="s">
        <v>12</v>
      </c>
      <c r="Q87" s="3" t="s">
        <v>13</v>
      </c>
      <c r="T87" s="4" t="s">
        <v>272</v>
      </c>
      <c r="U87" t="s">
        <v>336</v>
      </c>
      <c r="V87" t="str">
        <f t="shared" si="6"/>
        <v>Infr Supp - Player journey</v>
      </c>
      <c r="W87">
        <f t="shared" si="7"/>
        <v>26</v>
      </c>
    </row>
    <row r="88" spans="1:23" x14ac:dyDescent="0.25">
      <c r="A88" s="3" t="s">
        <v>17</v>
      </c>
      <c r="B88" s="3" t="s">
        <v>10</v>
      </c>
      <c r="C88" s="3" t="s">
        <v>188</v>
      </c>
      <c r="D88" s="3" t="s">
        <v>346</v>
      </c>
      <c r="E88" s="3" t="s">
        <v>13</v>
      </c>
      <c r="F88" s="3" t="s">
        <v>12</v>
      </c>
      <c r="G88" s="3" t="s">
        <v>12</v>
      </c>
      <c r="H88" s="3" t="s">
        <v>13</v>
      </c>
      <c r="J88" s="3" t="s">
        <v>17</v>
      </c>
      <c r="K88" s="3" t="s">
        <v>10</v>
      </c>
      <c r="L88" s="3" t="s">
        <v>188</v>
      </c>
      <c r="M88" s="3" t="s">
        <v>189</v>
      </c>
      <c r="N88" s="3" t="s">
        <v>13</v>
      </c>
      <c r="O88" s="3" t="s">
        <v>12</v>
      </c>
      <c r="P88" s="3" t="s">
        <v>12</v>
      </c>
      <c r="Q88" s="3" t="s">
        <v>13</v>
      </c>
      <c r="T88" s="4" t="s">
        <v>274</v>
      </c>
      <c r="U88" t="s">
        <v>336</v>
      </c>
      <c r="V88" t="str">
        <f t="shared" si="6"/>
        <v>Infr Supp - Player Tracking</v>
      </c>
      <c r="W88">
        <f t="shared" si="7"/>
        <v>27</v>
      </c>
    </row>
    <row r="89" spans="1:23" x14ac:dyDescent="0.25">
      <c r="A89" s="3" t="s">
        <v>17</v>
      </c>
      <c r="B89" s="3" t="s">
        <v>10</v>
      </c>
      <c r="C89" s="3" t="s">
        <v>190</v>
      </c>
      <c r="D89" s="3" t="s">
        <v>347</v>
      </c>
      <c r="E89" s="3" t="s">
        <v>13</v>
      </c>
      <c r="F89" s="3" t="s">
        <v>12</v>
      </c>
      <c r="G89" s="3" t="s">
        <v>12</v>
      </c>
      <c r="H89" s="3" t="s">
        <v>13</v>
      </c>
      <c r="J89" s="3" t="s">
        <v>17</v>
      </c>
      <c r="K89" s="3" t="s">
        <v>10</v>
      </c>
      <c r="L89" s="3" t="s">
        <v>190</v>
      </c>
      <c r="M89" s="3" t="s">
        <v>191</v>
      </c>
      <c r="N89" s="3" t="s">
        <v>13</v>
      </c>
      <c r="O89" s="3" t="s">
        <v>12</v>
      </c>
      <c r="P89" s="3" t="s">
        <v>12</v>
      </c>
      <c r="Q89" s="3" t="s">
        <v>13</v>
      </c>
      <c r="T89" s="4" t="s">
        <v>276</v>
      </c>
      <c r="U89" t="s">
        <v>336</v>
      </c>
      <c r="V89" t="str">
        <f t="shared" si="6"/>
        <v>Infr Supp - Product improvement</v>
      </c>
      <c r="W89">
        <f t="shared" si="7"/>
        <v>31</v>
      </c>
    </row>
    <row r="90" spans="1:23" x14ac:dyDescent="0.25">
      <c r="A90" s="3" t="s">
        <v>17</v>
      </c>
      <c r="B90" s="3" t="s">
        <v>10</v>
      </c>
      <c r="C90" s="3" t="s">
        <v>192</v>
      </c>
      <c r="D90" s="3" t="s">
        <v>348</v>
      </c>
      <c r="E90" s="3" t="s">
        <v>13</v>
      </c>
      <c r="F90" s="3" t="s">
        <v>12</v>
      </c>
      <c r="G90" s="3" t="s">
        <v>12</v>
      </c>
      <c r="H90" s="3" t="s">
        <v>13</v>
      </c>
      <c r="J90" s="3" t="s">
        <v>17</v>
      </c>
      <c r="K90" s="3" t="s">
        <v>10</v>
      </c>
      <c r="L90" s="3" t="s">
        <v>192</v>
      </c>
      <c r="M90" s="3" t="s">
        <v>193</v>
      </c>
      <c r="N90" s="3" t="s">
        <v>13</v>
      </c>
      <c r="O90" s="3" t="s">
        <v>12</v>
      </c>
      <c r="P90" s="3" t="s">
        <v>12</v>
      </c>
      <c r="Q90" s="3" t="s">
        <v>13</v>
      </c>
      <c r="T90" s="4" t="s">
        <v>278</v>
      </c>
      <c r="U90" t="s">
        <v>336</v>
      </c>
      <c r="V90" t="str">
        <f t="shared" si="6"/>
        <v>Infr Supp - Productization</v>
      </c>
      <c r="W90">
        <f t="shared" si="7"/>
        <v>26</v>
      </c>
    </row>
    <row r="91" spans="1:23" x14ac:dyDescent="0.25">
      <c r="A91" s="3" t="s">
        <v>17</v>
      </c>
      <c r="B91" s="3" t="s">
        <v>10</v>
      </c>
      <c r="C91" s="3" t="s">
        <v>194</v>
      </c>
      <c r="D91" s="3" t="s">
        <v>349</v>
      </c>
      <c r="E91" s="3" t="s">
        <v>13</v>
      </c>
      <c r="F91" s="3" t="s">
        <v>12</v>
      </c>
      <c r="G91" s="3" t="s">
        <v>12</v>
      </c>
      <c r="H91" s="3" t="s">
        <v>13</v>
      </c>
      <c r="J91" s="3" t="s">
        <v>17</v>
      </c>
      <c r="K91" s="3" t="s">
        <v>10</v>
      </c>
      <c r="L91" s="3" t="s">
        <v>194</v>
      </c>
      <c r="M91" s="3" t="s">
        <v>195</v>
      </c>
      <c r="N91" s="3" t="s">
        <v>13</v>
      </c>
      <c r="O91" s="3" t="s">
        <v>12</v>
      </c>
      <c r="P91" s="3" t="s">
        <v>12</v>
      </c>
      <c r="Q91" s="3" t="s">
        <v>13</v>
      </c>
      <c r="T91" s="4" t="s">
        <v>280</v>
      </c>
      <c r="U91" t="s">
        <v>336</v>
      </c>
      <c r="V91" t="str">
        <f t="shared" si="6"/>
        <v>Infr Supp - Regulatory</v>
      </c>
      <c r="W91">
        <f t="shared" si="7"/>
        <v>22</v>
      </c>
    </row>
    <row r="92" spans="1:23" x14ac:dyDescent="0.25">
      <c r="A92" s="3" t="s">
        <v>17</v>
      </c>
      <c r="B92" s="3" t="s">
        <v>10</v>
      </c>
      <c r="C92" s="3" t="s">
        <v>196</v>
      </c>
      <c r="D92" s="3" t="s">
        <v>350</v>
      </c>
      <c r="E92" s="3" t="s">
        <v>13</v>
      </c>
      <c r="F92" s="3" t="s">
        <v>12</v>
      </c>
      <c r="G92" s="3" t="s">
        <v>12</v>
      </c>
      <c r="H92" s="3" t="s">
        <v>13</v>
      </c>
      <c r="J92" s="3" t="s">
        <v>17</v>
      </c>
      <c r="K92" s="3" t="s">
        <v>10</v>
      </c>
      <c r="L92" s="3" t="s">
        <v>196</v>
      </c>
      <c r="M92" s="3" t="s">
        <v>197</v>
      </c>
      <c r="N92" s="3" t="s">
        <v>13</v>
      </c>
      <c r="O92" s="3" t="s">
        <v>12</v>
      </c>
      <c r="P92" s="3" t="s">
        <v>12</v>
      </c>
      <c r="Q92" s="3" t="s">
        <v>13</v>
      </c>
      <c r="T92" s="4" t="s">
        <v>282</v>
      </c>
      <c r="U92" t="s">
        <v>336</v>
      </c>
      <c r="V92" t="str">
        <f t="shared" si="6"/>
        <v>Infr Supp - Reporting</v>
      </c>
      <c r="W92">
        <f t="shared" si="7"/>
        <v>21</v>
      </c>
    </row>
    <row r="93" spans="1:23" x14ac:dyDescent="0.25">
      <c r="A93" s="3" t="s">
        <v>17</v>
      </c>
      <c r="B93" s="3" t="s">
        <v>10</v>
      </c>
      <c r="C93" s="3" t="s">
        <v>198</v>
      </c>
      <c r="D93" s="3" t="s">
        <v>351</v>
      </c>
      <c r="E93" s="3" t="s">
        <v>13</v>
      </c>
      <c r="F93" s="3" t="s">
        <v>12</v>
      </c>
      <c r="G93" s="3" t="s">
        <v>12</v>
      </c>
      <c r="H93" s="3" t="s">
        <v>13</v>
      </c>
      <c r="J93" s="3" t="s">
        <v>17</v>
      </c>
      <c r="K93" s="3" t="s">
        <v>10</v>
      </c>
      <c r="L93" s="3" t="s">
        <v>198</v>
      </c>
      <c r="M93" s="3" t="s">
        <v>199</v>
      </c>
      <c r="N93" s="3" t="s">
        <v>13</v>
      </c>
      <c r="O93" s="3" t="s">
        <v>12</v>
      </c>
      <c r="P93" s="3" t="s">
        <v>12</v>
      </c>
      <c r="Q93" s="3" t="s">
        <v>13</v>
      </c>
      <c r="T93" s="4" t="s">
        <v>284</v>
      </c>
      <c r="U93" t="s">
        <v>336</v>
      </c>
      <c r="V93" t="str">
        <f t="shared" si="6"/>
        <v>Infr Supp - Responsible Gaming</v>
      </c>
      <c r="W93">
        <f t="shared" si="7"/>
        <v>30</v>
      </c>
    </row>
    <row r="94" spans="1:23" x14ac:dyDescent="0.25">
      <c r="A94" s="3" t="s">
        <v>17</v>
      </c>
      <c r="B94" s="3" t="s">
        <v>10</v>
      </c>
      <c r="C94" s="3" t="s">
        <v>200</v>
      </c>
      <c r="D94" s="3" t="s">
        <v>352</v>
      </c>
      <c r="E94" s="3" t="s">
        <v>13</v>
      </c>
      <c r="F94" s="3" t="s">
        <v>12</v>
      </c>
      <c r="G94" s="3" t="s">
        <v>12</v>
      </c>
      <c r="H94" s="3" t="s">
        <v>13</v>
      </c>
      <c r="J94" s="3" t="s">
        <v>17</v>
      </c>
      <c r="K94" s="3" t="s">
        <v>10</v>
      </c>
      <c r="L94" s="3" t="s">
        <v>200</v>
      </c>
      <c r="M94" s="3" t="s">
        <v>201</v>
      </c>
      <c r="N94" s="3" t="s">
        <v>13</v>
      </c>
      <c r="O94" s="3" t="s">
        <v>12</v>
      </c>
      <c r="P94" s="3" t="s">
        <v>12</v>
      </c>
      <c r="Q94" s="3" t="s">
        <v>13</v>
      </c>
      <c r="T94" s="4" t="s">
        <v>286</v>
      </c>
      <c r="U94" t="s">
        <v>336</v>
      </c>
      <c r="V94" t="str">
        <f t="shared" si="6"/>
        <v>Infr Supp - Security</v>
      </c>
      <c r="W94">
        <f t="shared" si="7"/>
        <v>20</v>
      </c>
    </row>
    <row r="95" spans="1:23" x14ac:dyDescent="0.25">
      <c r="A95" s="3" t="s">
        <v>17</v>
      </c>
      <c r="B95" s="3" t="s">
        <v>10</v>
      </c>
      <c r="C95" s="3" t="s">
        <v>202</v>
      </c>
      <c r="D95" s="3" t="s">
        <v>353</v>
      </c>
      <c r="E95" s="3" t="s">
        <v>13</v>
      </c>
      <c r="F95" s="3" t="s">
        <v>12</v>
      </c>
      <c r="G95" s="3" t="s">
        <v>12</v>
      </c>
      <c r="H95" s="3" t="s">
        <v>13</v>
      </c>
      <c r="J95" s="3" t="s">
        <v>17</v>
      </c>
      <c r="K95" s="3" t="s">
        <v>10</v>
      </c>
      <c r="L95" s="3" t="s">
        <v>202</v>
      </c>
      <c r="M95" s="3" t="s">
        <v>203</v>
      </c>
      <c r="N95" s="3" t="s">
        <v>13</v>
      </c>
      <c r="O95" s="3" t="s">
        <v>12</v>
      </c>
      <c r="P95" s="3" t="s">
        <v>12</v>
      </c>
      <c r="Q95" s="3" t="s">
        <v>13</v>
      </c>
      <c r="T95" s="4" t="s">
        <v>288</v>
      </c>
      <c r="U95" t="s">
        <v>336</v>
      </c>
      <c r="V95" t="str">
        <f t="shared" si="6"/>
        <v>Infr Supp - Upsell</v>
      </c>
      <c r="W95">
        <f t="shared" si="7"/>
        <v>18</v>
      </c>
    </row>
    <row r="96" spans="1:23" x14ac:dyDescent="0.25">
      <c r="A96" s="3" t="s">
        <v>17</v>
      </c>
      <c r="B96" s="3" t="s">
        <v>10</v>
      </c>
      <c r="C96" s="3" t="s">
        <v>204</v>
      </c>
      <c r="D96" s="3" t="s">
        <v>354</v>
      </c>
      <c r="E96" s="3" t="s">
        <v>13</v>
      </c>
      <c r="F96" s="3" t="s">
        <v>12</v>
      </c>
      <c r="G96" s="3" t="s">
        <v>12</v>
      </c>
      <c r="H96" s="3" t="s">
        <v>13</v>
      </c>
      <c r="J96" s="3" t="s">
        <v>17</v>
      </c>
      <c r="K96" s="3" t="s">
        <v>10</v>
      </c>
      <c r="L96" s="3" t="s">
        <v>204</v>
      </c>
      <c r="M96" s="3" t="s">
        <v>205</v>
      </c>
      <c r="N96" s="3" t="s">
        <v>13</v>
      </c>
      <c r="O96" s="3" t="s">
        <v>12</v>
      </c>
      <c r="P96" s="3" t="s">
        <v>12</v>
      </c>
      <c r="Q96" s="3" t="s">
        <v>13</v>
      </c>
      <c r="T96" s="4" t="s">
        <v>290</v>
      </c>
      <c r="U96" t="s">
        <v>336</v>
      </c>
      <c r="V96" t="str">
        <f t="shared" si="6"/>
        <v xml:space="preserve">Infr Supp - Stand Alone Draw Engine </v>
      </c>
      <c r="W96">
        <f t="shared" si="7"/>
        <v>36</v>
      </c>
    </row>
    <row r="97" spans="1:23" x14ac:dyDescent="0.25">
      <c r="A97" s="3" t="s">
        <v>17</v>
      </c>
      <c r="B97" s="3" t="s">
        <v>10</v>
      </c>
      <c r="C97" s="3" t="s">
        <v>206</v>
      </c>
      <c r="D97" s="3" t="s">
        <v>355</v>
      </c>
      <c r="E97" s="3" t="s">
        <v>13</v>
      </c>
      <c r="F97" s="3" t="s">
        <v>12</v>
      </c>
      <c r="G97" s="3" t="s">
        <v>12</v>
      </c>
      <c r="H97" s="3" t="s">
        <v>13</v>
      </c>
      <c r="J97" s="3" t="s">
        <v>17</v>
      </c>
      <c r="K97" s="3" t="s">
        <v>10</v>
      </c>
      <c r="L97" s="3" t="s">
        <v>206</v>
      </c>
      <c r="M97" s="3" t="s">
        <v>207</v>
      </c>
      <c r="N97" s="3" t="s">
        <v>13</v>
      </c>
      <c r="O97" s="3" t="s">
        <v>12</v>
      </c>
      <c r="P97" s="3" t="s">
        <v>12</v>
      </c>
      <c r="Q97" s="3" t="s">
        <v>13</v>
      </c>
      <c r="T97" s="4" t="s">
        <v>292</v>
      </c>
      <c r="U97" t="s">
        <v>336</v>
      </c>
      <c r="V97" t="str">
        <f t="shared" si="6"/>
        <v>Infr Supp - Connected Play</v>
      </c>
      <c r="W97">
        <f t="shared" si="7"/>
        <v>26</v>
      </c>
    </row>
    <row r="98" spans="1:23" x14ac:dyDescent="0.25">
      <c r="A98" t="s">
        <v>14</v>
      </c>
      <c r="B98" t="s">
        <v>10</v>
      </c>
      <c r="C98" t="s">
        <v>208</v>
      </c>
      <c r="D98" t="s">
        <v>209</v>
      </c>
      <c r="E98" t="s">
        <v>12</v>
      </c>
      <c r="F98" t="s">
        <v>13</v>
      </c>
      <c r="G98" t="s">
        <v>13</v>
      </c>
      <c r="H98" t="s">
        <v>13</v>
      </c>
      <c r="J98" t="s">
        <v>14</v>
      </c>
      <c r="K98" t="s">
        <v>10</v>
      </c>
      <c r="L98" t="s">
        <v>208</v>
      </c>
      <c r="M98" t="s">
        <v>209</v>
      </c>
      <c r="N98" t="s">
        <v>12</v>
      </c>
      <c r="O98" t="s">
        <v>13</v>
      </c>
      <c r="P98" t="s">
        <v>13</v>
      </c>
      <c r="Q98" t="s">
        <v>13</v>
      </c>
    </row>
    <row r="99" spans="1:23" x14ac:dyDescent="0.25">
      <c r="A99" t="s">
        <v>17</v>
      </c>
      <c r="B99" t="s">
        <v>10</v>
      </c>
      <c r="C99" t="s">
        <v>210</v>
      </c>
      <c r="D99" t="s">
        <v>356</v>
      </c>
      <c r="E99" t="s">
        <v>13</v>
      </c>
      <c r="F99" t="s">
        <v>12</v>
      </c>
      <c r="G99" t="s">
        <v>13</v>
      </c>
      <c r="H99" t="s">
        <v>13</v>
      </c>
      <c r="J99" t="s">
        <v>17</v>
      </c>
      <c r="K99" t="s">
        <v>10</v>
      </c>
      <c r="L99" t="s">
        <v>210</v>
      </c>
      <c r="M99" t="s">
        <v>211</v>
      </c>
      <c r="N99" t="s">
        <v>13</v>
      </c>
      <c r="O99" t="s">
        <v>12</v>
      </c>
      <c r="P99" t="s">
        <v>13</v>
      </c>
      <c r="Q99" t="s">
        <v>13</v>
      </c>
      <c r="T99" s="4" t="s">
        <v>253</v>
      </c>
      <c r="U99" t="s">
        <v>357</v>
      </c>
      <c r="V99" t="str">
        <f>CONCATENATE(U99," -",T99)</f>
        <v>3P Fixed Cost - Non CAPEX Features</v>
      </c>
      <c r="W99">
        <f>LEN(V99)</f>
        <v>34</v>
      </c>
    </row>
    <row r="100" spans="1:23" x14ac:dyDescent="0.25">
      <c r="A100" t="s">
        <v>17</v>
      </c>
      <c r="B100" t="s">
        <v>10</v>
      </c>
      <c r="C100" t="s">
        <v>212</v>
      </c>
      <c r="D100" t="s">
        <v>358</v>
      </c>
      <c r="E100" t="s">
        <v>13</v>
      </c>
      <c r="F100" t="s">
        <v>12</v>
      </c>
      <c r="G100" t="s">
        <v>13</v>
      </c>
      <c r="H100" t="s">
        <v>13</v>
      </c>
      <c r="J100" t="s">
        <v>17</v>
      </c>
      <c r="K100" t="s">
        <v>10</v>
      </c>
      <c r="L100" t="s">
        <v>212</v>
      </c>
      <c r="M100" t="s">
        <v>213</v>
      </c>
      <c r="N100" t="s">
        <v>13</v>
      </c>
      <c r="O100" t="s">
        <v>12</v>
      </c>
      <c r="P100" t="s">
        <v>13</v>
      </c>
      <c r="Q100" t="s">
        <v>13</v>
      </c>
      <c r="T100" s="4" t="s">
        <v>256</v>
      </c>
      <c r="U100" t="s">
        <v>357</v>
      </c>
      <c r="V100" t="str">
        <f t="shared" ref="V100:V118" si="8">CONCATENATE(U100," -",T100)</f>
        <v>3P Fixed Cost - Compliance</v>
      </c>
      <c r="W100">
        <f t="shared" ref="W100:W118" si="9">LEN(V100)</f>
        <v>26</v>
      </c>
    </row>
    <row r="101" spans="1:23" x14ac:dyDescent="0.25">
      <c r="A101" t="s">
        <v>17</v>
      </c>
      <c r="B101" t="s">
        <v>10</v>
      </c>
      <c r="C101" t="s">
        <v>214</v>
      </c>
      <c r="D101" t="s">
        <v>359</v>
      </c>
      <c r="E101" t="s">
        <v>13</v>
      </c>
      <c r="F101" t="s">
        <v>12</v>
      </c>
      <c r="G101" t="s">
        <v>13</v>
      </c>
      <c r="H101" t="s">
        <v>13</v>
      </c>
      <c r="J101" t="s">
        <v>17</v>
      </c>
      <c r="K101" t="s">
        <v>10</v>
      </c>
      <c r="L101" t="s">
        <v>214</v>
      </c>
      <c r="M101" t="s">
        <v>215</v>
      </c>
      <c r="N101" t="s">
        <v>13</v>
      </c>
      <c r="O101" t="s">
        <v>12</v>
      </c>
      <c r="P101" t="s">
        <v>13</v>
      </c>
      <c r="Q101" t="s">
        <v>13</v>
      </c>
      <c r="T101" s="4" t="s">
        <v>258</v>
      </c>
      <c r="U101" t="s">
        <v>357</v>
      </c>
      <c r="V101" t="str">
        <f t="shared" si="8"/>
        <v>3P Fixed Cost - Content Management</v>
      </c>
      <c r="W101">
        <f t="shared" si="9"/>
        <v>34</v>
      </c>
    </row>
    <row r="102" spans="1:23" x14ac:dyDescent="0.25">
      <c r="A102" t="s">
        <v>17</v>
      </c>
      <c r="B102" t="s">
        <v>10</v>
      </c>
      <c r="C102" t="s">
        <v>216</v>
      </c>
      <c r="D102" t="s">
        <v>360</v>
      </c>
      <c r="E102" t="s">
        <v>13</v>
      </c>
      <c r="F102" t="s">
        <v>12</v>
      </c>
      <c r="G102" t="s">
        <v>13</v>
      </c>
      <c r="H102" t="s">
        <v>13</v>
      </c>
      <c r="J102" t="s">
        <v>17</v>
      </c>
      <c r="K102" t="s">
        <v>10</v>
      </c>
      <c r="L102" t="s">
        <v>216</v>
      </c>
      <c r="M102" t="s">
        <v>217</v>
      </c>
      <c r="N102" t="s">
        <v>13</v>
      </c>
      <c r="O102" t="s">
        <v>12</v>
      </c>
      <c r="P102" t="s">
        <v>13</v>
      </c>
      <c r="Q102" t="s">
        <v>13</v>
      </c>
      <c r="T102" s="4" t="s">
        <v>260</v>
      </c>
      <c r="U102" t="s">
        <v>357</v>
      </c>
      <c r="V102" t="str">
        <f t="shared" si="8"/>
        <v>3P Fixed Cost - Cost optimization</v>
      </c>
      <c r="W102">
        <f t="shared" si="9"/>
        <v>33</v>
      </c>
    </row>
    <row r="103" spans="1:23" x14ac:dyDescent="0.25">
      <c r="A103" t="s">
        <v>17</v>
      </c>
      <c r="B103" t="s">
        <v>10</v>
      </c>
      <c r="C103" t="s">
        <v>218</v>
      </c>
      <c r="D103" t="s">
        <v>361</v>
      </c>
      <c r="E103" t="s">
        <v>13</v>
      </c>
      <c r="F103" t="s">
        <v>12</v>
      </c>
      <c r="G103" t="s">
        <v>13</v>
      </c>
      <c r="H103" t="s">
        <v>13</v>
      </c>
      <c r="J103" t="s">
        <v>17</v>
      </c>
      <c r="K103" t="s">
        <v>10</v>
      </c>
      <c r="L103" t="s">
        <v>218</v>
      </c>
      <c r="M103" t="s">
        <v>219</v>
      </c>
      <c r="N103" t="s">
        <v>13</v>
      </c>
      <c r="O103" t="s">
        <v>12</v>
      </c>
      <c r="P103" t="s">
        <v>13</v>
      </c>
      <c r="Q103" t="s">
        <v>13</v>
      </c>
      <c r="T103" s="4" t="s">
        <v>262</v>
      </c>
      <c r="U103" t="s">
        <v>357</v>
      </c>
      <c r="V103" t="str">
        <f t="shared" si="8"/>
        <v>3P Fixed Cost - Game integration</v>
      </c>
      <c r="W103">
        <f t="shared" si="9"/>
        <v>32</v>
      </c>
    </row>
    <row r="104" spans="1:23" x14ac:dyDescent="0.25">
      <c r="A104" t="s">
        <v>17</v>
      </c>
      <c r="B104" t="s">
        <v>10</v>
      </c>
      <c r="C104" t="s">
        <v>220</v>
      </c>
      <c r="D104" t="s">
        <v>362</v>
      </c>
      <c r="E104" t="s">
        <v>13</v>
      </c>
      <c r="F104" t="s">
        <v>12</v>
      </c>
      <c r="G104" t="s">
        <v>13</v>
      </c>
      <c r="H104" t="s">
        <v>13</v>
      </c>
      <c r="J104" t="s">
        <v>17</v>
      </c>
      <c r="K104" t="s">
        <v>10</v>
      </c>
      <c r="L104" t="s">
        <v>220</v>
      </c>
      <c r="M104" t="s">
        <v>221</v>
      </c>
      <c r="N104" t="s">
        <v>13</v>
      </c>
      <c r="O104" t="s">
        <v>12</v>
      </c>
      <c r="P104" t="s">
        <v>13</v>
      </c>
      <c r="Q104" t="s">
        <v>13</v>
      </c>
      <c r="T104" s="4" t="s">
        <v>264</v>
      </c>
      <c r="U104" t="s">
        <v>357</v>
      </c>
      <c r="V104" t="str">
        <f t="shared" si="8"/>
        <v>3P Fixed Cost - Mandatory migration</v>
      </c>
      <c r="W104">
        <f t="shared" si="9"/>
        <v>35</v>
      </c>
    </row>
    <row r="105" spans="1:23" x14ac:dyDescent="0.25">
      <c r="A105" t="s">
        <v>17</v>
      </c>
      <c r="B105" t="s">
        <v>10</v>
      </c>
      <c r="C105" t="s">
        <v>222</v>
      </c>
      <c r="D105" t="s">
        <v>363</v>
      </c>
      <c r="E105" t="s">
        <v>13</v>
      </c>
      <c r="F105" t="s">
        <v>12</v>
      </c>
      <c r="G105" t="s">
        <v>13</v>
      </c>
      <c r="H105" t="s">
        <v>13</v>
      </c>
      <c r="J105" t="s">
        <v>17</v>
      </c>
      <c r="K105" t="s">
        <v>10</v>
      </c>
      <c r="L105" t="s">
        <v>222</v>
      </c>
      <c r="M105" t="s">
        <v>223</v>
      </c>
      <c r="N105" t="s">
        <v>13</v>
      </c>
      <c r="O105" t="s">
        <v>12</v>
      </c>
      <c r="P105" t="s">
        <v>13</v>
      </c>
      <c r="Q105" t="s">
        <v>13</v>
      </c>
      <c r="T105" s="4" t="s">
        <v>266</v>
      </c>
      <c r="U105" t="s">
        <v>357</v>
      </c>
      <c r="V105" t="str">
        <f t="shared" si="8"/>
        <v>3P Fixed Cost - New Generation FE Product</v>
      </c>
      <c r="W105">
        <f t="shared" si="9"/>
        <v>41</v>
      </c>
    </row>
    <row r="106" spans="1:23" x14ac:dyDescent="0.25">
      <c r="A106" t="s">
        <v>17</v>
      </c>
      <c r="B106" t="s">
        <v>10</v>
      </c>
      <c r="C106" t="s">
        <v>224</v>
      </c>
      <c r="D106" t="s">
        <v>364</v>
      </c>
      <c r="E106" t="s">
        <v>13</v>
      </c>
      <c r="F106" t="s">
        <v>12</v>
      </c>
      <c r="G106" t="s">
        <v>13</v>
      </c>
      <c r="H106" t="s">
        <v>13</v>
      </c>
      <c r="J106" t="s">
        <v>17</v>
      </c>
      <c r="K106" t="s">
        <v>10</v>
      </c>
      <c r="L106" t="s">
        <v>224</v>
      </c>
      <c r="M106" t="s">
        <v>225</v>
      </c>
      <c r="N106" t="s">
        <v>13</v>
      </c>
      <c r="O106" t="s">
        <v>12</v>
      </c>
      <c r="P106" t="s">
        <v>13</v>
      </c>
      <c r="Q106" t="s">
        <v>13</v>
      </c>
      <c r="T106" s="4" t="s">
        <v>268</v>
      </c>
      <c r="U106" t="s">
        <v>357</v>
      </c>
      <c r="V106" t="str">
        <f t="shared" si="8"/>
        <v>3P Fixed Cost - Operational efficiency</v>
      </c>
      <c r="W106">
        <f t="shared" si="9"/>
        <v>38</v>
      </c>
    </row>
    <row r="107" spans="1:23" x14ac:dyDescent="0.25">
      <c r="A107" t="s">
        <v>17</v>
      </c>
      <c r="B107" t="s">
        <v>10</v>
      </c>
      <c r="C107" t="s">
        <v>226</v>
      </c>
      <c r="D107" t="s">
        <v>365</v>
      </c>
      <c r="E107" t="s">
        <v>13</v>
      </c>
      <c r="F107" t="s">
        <v>12</v>
      </c>
      <c r="G107" t="s">
        <v>13</v>
      </c>
      <c r="H107" t="s">
        <v>13</v>
      </c>
      <c r="J107" t="s">
        <v>17</v>
      </c>
      <c r="K107" t="s">
        <v>10</v>
      </c>
      <c r="L107" t="s">
        <v>226</v>
      </c>
      <c r="M107" t="s">
        <v>227</v>
      </c>
      <c r="N107" t="s">
        <v>13</v>
      </c>
      <c r="O107" t="s">
        <v>12</v>
      </c>
      <c r="P107" t="s">
        <v>13</v>
      </c>
      <c r="Q107" t="s">
        <v>13</v>
      </c>
      <c r="T107" s="4" t="s">
        <v>270</v>
      </c>
      <c r="U107" t="s">
        <v>357</v>
      </c>
      <c r="V107" t="str">
        <f t="shared" si="8"/>
        <v>3P Fixed Cost - Player experience</v>
      </c>
      <c r="W107">
        <f t="shared" si="9"/>
        <v>33</v>
      </c>
    </row>
    <row r="108" spans="1:23" x14ac:dyDescent="0.25">
      <c r="A108" t="s">
        <v>17</v>
      </c>
      <c r="B108" t="s">
        <v>10</v>
      </c>
      <c r="C108" t="s">
        <v>228</v>
      </c>
      <c r="D108" t="s">
        <v>366</v>
      </c>
      <c r="E108" t="s">
        <v>13</v>
      </c>
      <c r="F108" t="s">
        <v>12</v>
      </c>
      <c r="G108" t="s">
        <v>13</v>
      </c>
      <c r="H108" t="s">
        <v>13</v>
      </c>
      <c r="J108" t="s">
        <v>17</v>
      </c>
      <c r="K108" t="s">
        <v>10</v>
      </c>
      <c r="L108" t="s">
        <v>228</v>
      </c>
      <c r="M108" t="s">
        <v>229</v>
      </c>
      <c r="N108" t="s">
        <v>13</v>
      </c>
      <c r="O108" t="s">
        <v>12</v>
      </c>
      <c r="P108" t="s">
        <v>13</v>
      </c>
      <c r="Q108" t="s">
        <v>13</v>
      </c>
      <c r="T108" s="4" t="s">
        <v>272</v>
      </c>
      <c r="U108" t="s">
        <v>357</v>
      </c>
      <c r="V108" t="str">
        <f t="shared" si="8"/>
        <v>3P Fixed Cost - Player journey</v>
      </c>
      <c r="W108">
        <f t="shared" si="9"/>
        <v>30</v>
      </c>
    </row>
    <row r="109" spans="1:23" x14ac:dyDescent="0.25">
      <c r="A109" t="s">
        <v>17</v>
      </c>
      <c r="B109" t="s">
        <v>10</v>
      </c>
      <c r="C109" t="s">
        <v>230</v>
      </c>
      <c r="D109" t="s">
        <v>367</v>
      </c>
      <c r="E109" t="s">
        <v>13</v>
      </c>
      <c r="F109" t="s">
        <v>12</v>
      </c>
      <c r="G109" t="s">
        <v>13</v>
      </c>
      <c r="H109" t="s">
        <v>13</v>
      </c>
      <c r="J109" t="s">
        <v>17</v>
      </c>
      <c r="K109" t="s">
        <v>10</v>
      </c>
      <c r="L109" t="s">
        <v>230</v>
      </c>
      <c r="M109" t="s">
        <v>231</v>
      </c>
      <c r="N109" t="s">
        <v>13</v>
      </c>
      <c r="O109" t="s">
        <v>12</v>
      </c>
      <c r="P109" t="s">
        <v>13</v>
      </c>
      <c r="Q109" t="s">
        <v>13</v>
      </c>
      <c r="T109" s="4" t="s">
        <v>274</v>
      </c>
      <c r="U109" t="s">
        <v>357</v>
      </c>
      <c r="V109" t="str">
        <f t="shared" si="8"/>
        <v>3P Fixed Cost - Player Tracking</v>
      </c>
      <c r="W109">
        <f t="shared" si="9"/>
        <v>31</v>
      </c>
    </row>
    <row r="110" spans="1:23" x14ac:dyDescent="0.25">
      <c r="A110" t="s">
        <v>17</v>
      </c>
      <c r="B110" t="s">
        <v>10</v>
      </c>
      <c r="C110" t="s">
        <v>232</v>
      </c>
      <c r="D110" t="s">
        <v>368</v>
      </c>
      <c r="E110" t="s">
        <v>13</v>
      </c>
      <c r="F110" t="s">
        <v>12</v>
      </c>
      <c r="G110" t="s">
        <v>13</v>
      </c>
      <c r="H110" t="s">
        <v>13</v>
      </c>
      <c r="J110" t="s">
        <v>17</v>
      </c>
      <c r="K110" t="s">
        <v>10</v>
      </c>
      <c r="L110" t="s">
        <v>232</v>
      </c>
      <c r="M110" t="s">
        <v>233</v>
      </c>
      <c r="N110" t="s">
        <v>13</v>
      </c>
      <c r="O110" t="s">
        <v>12</v>
      </c>
      <c r="P110" t="s">
        <v>13</v>
      </c>
      <c r="Q110" t="s">
        <v>13</v>
      </c>
      <c r="T110" s="4" t="s">
        <v>276</v>
      </c>
      <c r="U110" t="s">
        <v>357</v>
      </c>
      <c r="V110" t="str">
        <f t="shared" si="8"/>
        <v>3P Fixed Cost - Product improvement</v>
      </c>
      <c r="W110">
        <f t="shared" si="9"/>
        <v>35</v>
      </c>
    </row>
    <row r="111" spans="1:23" x14ac:dyDescent="0.25">
      <c r="A111" t="s">
        <v>17</v>
      </c>
      <c r="B111" t="s">
        <v>10</v>
      </c>
      <c r="C111" t="s">
        <v>234</v>
      </c>
      <c r="D111" t="s">
        <v>369</v>
      </c>
      <c r="E111" t="s">
        <v>13</v>
      </c>
      <c r="F111" t="s">
        <v>12</v>
      </c>
      <c r="G111" t="s">
        <v>13</v>
      </c>
      <c r="H111" t="s">
        <v>13</v>
      </c>
      <c r="J111" t="s">
        <v>17</v>
      </c>
      <c r="K111" t="s">
        <v>10</v>
      </c>
      <c r="L111" t="s">
        <v>234</v>
      </c>
      <c r="M111" t="s">
        <v>235</v>
      </c>
      <c r="N111" t="s">
        <v>13</v>
      </c>
      <c r="O111" t="s">
        <v>12</v>
      </c>
      <c r="P111" t="s">
        <v>13</v>
      </c>
      <c r="Q111" t="s">
        <v>13</v>
      </c>
      <c r="T111" s="4" t="s">
        <v>278</v>
      </c>
      <c r="U111" t="s">
        <v>357</v>
      </c>
      <c r="V111" t="str">
        <f t="shared" si="8"/>
        <v>3P Fixed Cost - Productization</v>
      </c>
      <c r="W111">
        <f t="shared" si="9"/>
        <v>30</v>
      </c>
    </row>
    <row r="112" spans="1:23" x14ac:dyDescent="0.25">
      <c r="A112" t="s">
        <v>17</v>
      </c>
      <c r="B112" t="s">
        <v>10</v>
      </c>
      <c r="C112" t="s">
        <v>236</v>
      </c>
      <c r="D112" t="s">
        <v>370</v>
      </c>
      <c r="E112" t="s">
        <v>13</v>
      </c>
      <c r="F112" t="s">
        <v>12</v>
      </c>
      <c r="G112" t="s">
        <v>13</v>
      </c>
      <c r="H112" t="s">
        <v>13</v>
      </c>
      <c r="J112" t="s">
        <v>17</v>
      </c>
      <c r="K112" t="s">
        <v>10</v>
      </c>
      <c r="L112" t="s">
        <v>236</v>
      </c>
      <c r="M112" t="s">
        <v>237</v>
      </c>
      <c r="N112" t="s">
        <v>13</v>
      </c>
      <c r="O112" t="s">
        <v>12</v>
      </c>
      <c r="P112" t="s">
        <v>13</v>
      </c>
      <c r="Q112" t="s">
        <v>13</v>
      </c>
      <c r="T112" s="4" t="s">
        <v>280</v>
      </c>
      <c r="U112" t="s">
        <v>357</v>
      </c>
      <c r="V112" t="str">
        <f t="shared" si="8"/>
        <v>3P Fixed Cost - Regulatory</v>
      </c>
      <c r="W112">
        <f t="shared" si="9"/>
        <v>26</v>
      </c>
    </row>
    <row r="113" spans="1:23" x14ac:dyDescent="0.25">
      <c r="A113" t="s">
        <v>17</v>
      </c>
      <c r="B113" t="s">
        <v>10</v>
      </c>
      <c r="C113" t="s">
        <v>238</v>
      </c>
      <c r="D113" t="s">
        <v>371</v>
      </c>
      <c r="E113" t="s">
        <v>13</v>
      </c>
      <c r="F113" t="s">
        <v>12</v>
      </c>
      <c r="G113" t="s">
        <v>13</v>
      </c>
      <c r="H113" t="s">
        <v>13</v>
      </c>
      <c r="J113" t="s">
        <v>17</v>
      </c>
      <c r="K113" t="s">
        <v>10</v>
      </c>
      <c r="L113" t="s">
        <v>238</v>
      </c>
      <c r="M113" t="s">
        <v>239</v>
      </c>
      <c r="N113" t="s">
        <v>13</v>
      </c>
      <c r="O113" t="s">
        <v>12</v>
      </c>
      <c r="P113" t="s">
        <v>13</v>
      </c>
      <c r="Q113" t="s">
        <v>13</v>
      </c>
      <c r="T113" s="4" t="s">
        <v>282</v>
      </c>
      <c r="U113" t="s">
        <v>357</v>
      </c>
      <c r="V113" t="str">
        <f t="shared" si="8"/>
        <v>3P Fixed Cost - Reporting</v>
      </c>
      <c r="W113">
        <f t="shared" si="9"/>
        <v>25</v>
      </c>
    </row>
    <row r="114" spans="1:23" x14ac:dyDescent="0.25">
      <c r="A114" t="s">
        <v>17</v>
      </c>
      <c r="B114" t="s">
        <v>10</v>
      </c>
      <c r="C114" t="s">
        <v>240</v>
      </c>
      <c r="D114" t="s">
        <v>372</v>
      </c>
      <c r="E114" t="s">
        <v>13</v>
      </c>
      <c r="F114" t="s">
        <v>12</v>
      </c>
      <c r="G114" t="s">
        <v>13</v>
      </c>
      <c r="H114" t="s">
        <v>13</v>
      </c>
      <c r="J114" t="s">
        <v>17</v>
      </c>
      <c r="K114" t="s">
        <v>10</v>
      </c>
      <c r="L114" t="s">
        <v>240</v>
      </c>
      <c r="M114" t="s">
        <v>241</v>
      </c>
      <c r="N114" t="s">
        <v>13</v>
      </c>
      <c r="O114" t="s">
        <v>12</v>
      </c>
      <c r="P114" t="s">
        <v>13</v>
      </c>
      <c r="Q114" t="s">
        <v>13</v>
      </c>
      <c r="T114" s="4" t="s">
        <v>284</v>
      </c>
      <c r="U114" t="s">
        <v>357</v>
      </c>
      <c r="V114" t="str">
        <f t="shared" si="8"/>
        <v>3P Fixed Cost - Responsible Gaming</v>
      </c>
      <c r="W114">
        <f t="shared" si="9"/>
        <v>34</v>
      </c>
    </row>
    <row r="115" spans="1:23" x14ac:dyDescent="0.25">
      <c r="A115" t="s">
        <v>17</v>
      </c>
      <c r="B115" t="s">
        <v>10</v>
      </c>
      <c r="C115" t="s">
        <v>242</v>
      </c>
      <c r="D115" t="s">
        <v>373</v>
      </c>
      <c r="E115" t="s">
        <v>13</v>
      </c>
      <c r="F115" t="s">
        <v>12</v>
      </c>
      <c r="G115" t="s">
        <v>13</v>
      </c>
      <c r="H115" t="s">
        <v>13</v>
      </c>
      <c r="J115" t="s">
        <v>17</v>
      </c>
      <c r="K115" t="s">
        <v>10</v>
      </c>
      <c r="L115" t="s">
        <v>242</v>
      </c>
      <c r="M115" t="s">
        <v>243</v>
      </c>
      <c r="N115" t="s">
        <v>13</v>
      </c>
      <c r="O115" t="s">
        <v>12</v>
      </c>
      <c r="P115" t="s">
        <v>13</v>
      </c>
      <c r="Q115" t="s">
        <v>13</v>
      </c>
      <c r="T115" s="4" t="s">
        <v>286</v>
      </c>
      <c r="U115" t="s">
        <v>357</v>
      </c>
      <c r="V115" t="str">
        <f t="shared" si="8"/>
        <v>3P Fixed Cost - Security</v>
      </c>
      <c r="W115">
        <f t="shared" si="9"/>
        <v>24</v>
      </c>
    </row>
    <row r="116" spans="1:23" x14ac:dyDescent="0.25">
      <c r="A116" t="s">
        <v>17</v>
      </c>
      <c r="B116" t="s">
        <v>10</v>
      </c>
      <c r="C116" t="s">
        <v>244</v>
      </c>
      <c r="D116" t="s">
        <v>374</v>
      </c>
      <c r="E116" t="s">
        <v>13</v>
      </c>
      <c r="F116" t="s">
        <v>12</v>
      </c>
      <c r="G116" t="s">
        <v>13</v>
      </c>
      <c r="H116" t="s">
        <v>13</v>
      </c>
      <c r="J116" t="s">
        <v>17</v>
      </c>
      <c r="K116" t="s">
        <v>10</v>
      </c>
      <c r="L116" t="s">
        <v>244</v>
      </c>
      <c r="M116" t="s">
        <v>245</v>
      </c>
      <c r="N116" t="s">
        <v>13</v>
      </c>
      <c r="O116" t="s">
        <v>12</v>
      </c>
      <c r="P116" t="s">
        <v>13</v>
      </c>
      <c r="Q116" t="s">
        <v>13</v>
      </c>
      <c r="T116" s="4" t="s">
        <v>288</v>
      </c>
      <c r="U116" t="s">
        <v>357</v>
      </c>
      <c r="V116" t="str">
        <f t="shared" si="8"/>
        <v>3P Fixed Cost - Upsell</v>
      </c>
      <c r="W116">
        <f t="shared" si="9"/>
        <v>22</v>
      </c>
    </row>
    <row r="117" spans="1:23" x14ac:dyDescent="0.25">
      <c r="A117" t="s">
        <v>17</v>
      </c>
      <c r="B117" t="s">
        <v>10</v>
      </c>
      <c r="C117" t="s">
        <v>246</v>
      </c>
      <c r="D117" t="s">
        <v>375</v>
      </c>
      <c r="E117" t="s">
        <v>13</v>
      </c>
      <c r="F117" t="s">
        <v>12</v>
      </c>
      <c r="G117" t="s">
        <v>13</v>
      </c>
      <c r="H117" t="s">
        <v>13</v>
      </c>
      <c r="J117" t="s">
        <v>17</v>
      </c>
      <c r="K117" t="s">
        <v>10</v>
      </c>
      <c r="L117" t="s">
        <v>246</v>
      </c>
      <c r="M117" t="s">
        <v>247</v>
      </c>
      <c r="N117" t="s">
        <v>13</v>
      </c>
      <c r="O117" t="s">
        <v>12</v>
      </c>
      <c r="P117" t="s">
        <v>13</v>
      </c>
      <c r="Q117" t="s">
        <v>13</v>
      </c>
      <c r="T117" s="4" t="s">
        <v>290</v>
      </c>
      <c r="U117" t="s">
        <v>357</v>
      </c>
      <c r="V117" t="str">
        <f t="shared" si="8"/>
        <v xml:space="preserve">3P Fixed Cost - Stand Alone Draw Engine </v>
      </c>
      <c r="W117">
        <f t="shared" si="9"/>
        <v>40</v>
      </c>
    </row>
    <row r="118" spans="1:23" x14ac:dyDescent="0.25">
      <c r="A118" t="s">
        <v>17</v>
      </c>
      <c r="B118" t="s">
        <v>10</v>
      </c>
      <c r="C118" t="s">
        <v>248</v>
      </c>
      <c r="D118" t="s">
        <v>376</v>
      </c>
      <c r="E118" t="s">
        <v>13</v>
      </c>
      <c r="F118" t="s">
        <v>12</v>
      </c>
      <c r="G118" t="s">
        <v>13</v>
      </c>
      <c r="H118" t="s">
        <v>13</v>
      </c>
      <c r="J118" t="s">
        <v>17</v>
      </c>
      <c r="K118" t="s">
        <v>10</v>
      </c>
      <c r="L118" t="s">
        <v>248</v>
      </c>
      <c r="M118" t="s">
        <v>249</v>
      </c>
      <c r="N118" t="s">
        <v>13</v>
      </c>
      <c r="O118" t="s">
        <v>12</v>
      </c>
      <c r="P118" t="s">
        <v>13</v>
      </c>
      <c r="Q118" t="s">
        <v>13</v>
      </c>
      <c r="T118" s="4" t="s">
        <v>292</v>
      </c>
      <c r="U118" t="s">
        <v>357</v>
      </c>
      <c r="V118" t="str">
        <f t="shared" si="8"/>
        <v>3P Fixed Cost - Connected Play</v>
      </c>
      <c r="W118">
        <f t="shared" si="9"/>
        <v>30</v>
      </c>
    </row>
    <row r="119" spans="1:23" x14ac:dyDescent="0.25">
      <c r="A119" s="3" t="s">
        <v>14</v>
      </c>
      <c r="B119" s="3" t="s">
        <v>10</v>
      </c>
      <c r="C119" s="3" t="s">
        <v>250</v>
      </c>
      <c r="D119" s="3" t="s">
        <v>251</v>
      </c>
      <c r="E119" s="3" t="s">
        <v>13</v>
      </c>
      <c r="F119" s="3" t="s">
        <v>12</v>
      </c>
      <c r="G119" s="3" t="s">
        <v>12</v>
      </c>
      <c r="H119" s="3" t="s">
        <v>13</v>
      </c>
      <c r="J119" s="3" t="s">
        <v>14</v>
      </c>
      <c r="K119" s="3" t="s">
        <v>10</v>
      </c>
      <c r="L119" s="3" t="s">
        <v>250</v>
      </c>
      <c r="M119" s="3" t="s">
        <v>251</v>
      </c>
      <c r="N119" s="3" t="s">
        <v>13</v>
      </c>
      <c r="O119" s="3" t="s">
        <v>12</v>
      </c>
      <c r="P119" s="3" t="s">
        <v>12</v>
      </c>
      <c r="Q119" s="3" t="s">
        <v>13</v>
      </c>
    </row>
  </sheetData>
  <autoFilter ref="J2:Q119" xr:uid="{00000000-0001-0000-0000-000000000000}"/>
  <phoneticPr fontId="0" type="noConversion"/>
  <conditionalFormatting sqref="W1:W1048576">
    <cfRule type="cellIs" dxfId="0" priority="1" operator="greaterThan">
      <formula>40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Della Monica, Sarah</cp:lastModifiedBy>
  <cp:revision>1</cp:revision>
  <dcterms:created xsi:type="dcterms:W3CDTF">2025-01-07T15:27:11Z</dcterms:created>
  <dcterms:modified xsi:type="dcterms:W3CDTF">2025-12-10T11:18:33Z</dcterms:modified>
  <cp:category/>
  <cp:contentStatus/>
</cp:coreProperties>
</file>